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Month Calendar" sheetId="1" state="visible" r:id="rId1"/>
    <sheet xmlns:r="http://schemas.openxmlformats.org/officeDocument/2006/relationships" name="Master Action Table" sheetId="2" state="visible" r:id="rId2"/>
    <sheet xmlns:r="http://schemas.openxmlformats.org/officeDocument/2006/relationships" name="Funders" sheetId="3" state="visible" r:id="rId3"/>
    <sheet xmlns:r="http://schemas.openxmlformats.org/officeDocument/2006/relationships" name="Budget" sheetId="4" state="visible" r:id="rId4"/>
    <sheet xmlns:r="http://schemas.openxmlformats.org/officeDocument/2006/relationships" name="Metrics" sheetId="5" state="visible" r:id="rId5"/>
  </sheets>
  <definedNames>
    <definedName name="_xlnm._FilterDatabase" localSheetId="1" hidden="1">'Master Action Table'!$A$5:$G$47</definedName>
    <definedName name="_xlnm._FilterDatabase" localSheetId="2" hidden="1">'Funders'!$A$6:$O$36</definedName>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0"/>
  </numFmts>
  <fonts count="8">
    <font>
      <name val="Calibri"/>
      <family val="2"/>
      <color theme="1"/>
      <sz val="11"/>
      <scheme val="minor"/>
    </font>
    <font>
      <name val="Calibri"/>
      <b val="1"/>
      <color rgb="003D1A6E"/>
      <sz val="16"/>
    </font>
    <font>
      <name val="Calibri"/>
      <i val="1"/>
      <color rgb="00666666"/>
      <sz val="10"/>
    </font>
    <font>
      <name val="Calibri"/>
      <b val="1"/>
      <color rgb="00FFFFFF"/>
      <sz val="11"/>
    </font>
    <font>
      <name val="Calibri"/>
      <sz val="10"/>
    </font>
    <font>
      <name val="Calibri"/>
      <b val="1"/>
      <sz val="10"/>
    </font>
    <font>
      <name val="Calibri"/>
      <color rgb="003D1A6E"/>
      <sz val="10"/>
      <u val="single"/>
    </font>
    <font>
      <name val="Calibri"/>
      <b val="1"/>
      <color rgb="003D1A6E"/>
      <sz val="13"/>
    </font>
  </fonts>
  <fills count="7">
    <fill>
      <patternFill/>
    </fill>
    <fill>
      <patternFill patternType="gray125"/>
    </fill>
    <fill>
      <patternFill patternType="solid">
        <fgColor rgb="00C9A227"/>
      </patternFill>
    </fill>
    <fill>
      <patternFill patternType="solid">
        <fgColor rgb="003D1A6E"/>
      </patternFill>
    </fill>
    <fill>
      <patternFill patternType="solid">
        <fgColor rgb="00F3EFF8"/>
      </patternFill>
    </fill>
    <fill>
      <patternFill patternType="solid">
        <fgColor rgb="00FFF6D6"/>
      </patternFill>
    </fill>
    <fill>
      <patternFill patternType="solid">
        <fgColor rgb="00EDEDED"/>
      </patternFill>
    </fill>
  </fills>
  <borders count="2">
    <border>
      <left/>
      <right/>
      <top/>
      <bottom/>
      <diagonal/>
    </border>
    <border>
      <left style="thin">
        <color rgb="00BFB3D1"/>
      </left>
      <right style="thin">
        <color rgb="00BFB3D1"/>
      </right>
      <top style="thin">
        <color rgb="00BFB3D1"/>
      </top>
      <bottom style="thin">
        <color rgb="00BFB3D1"/>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3" borderId="1" applyAlignment="1" pivotButton="0" quotePrefix="0" xfId="0">
      <alignment vertical="center" wrapText="1"/>
    </xf>
    <xf numFmtId="0" fontId="4" fillId="0" borderId="1" applyAlignment="1" pivotButton="0" quotePrefix="0" xfId="0">
      <alignment vertical="top" wrapText="1"/>
    </xf>
    <xf numFmtId="164" fontId="4" fillId="0" borderId="1" applyAlignment="1" pivotButton="0" quotePrefix="0" xfId="0">
      <alignment vertical="top" wrapText="1"/>
    </xf>
    <xf numFmtId="0" fontId="4" fillId="4" borderId="1" applyAlignment="1" pivotButton="0" quotePrefix="0" xfId="0">
      <alignment vertical="top" wrapText="1"/>
    </xf>
    <xf numFmtId="164" fontId="4" fillId="4"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vertical="top" wrapText="1"/>
    </xf>
    <xf numFmtId="0" fontId="4" fillId="5" borderId="1" applyAlignment="1" pivotButton="0" quotePrefix="0" xfId="0">
      <alignment vertical="top" wrapText="1"/>
    </xf>
    <xf numFmtId="164" fontId="4" fillId="5" borderId="1"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6" fillId="4" borderId="1" applyAlignment="1" pivotButton="0" quotePrefix="0" xfId="0">
      <alignment vertical="top" wrapText="1"/>
    </xf>
    <xf numFmtId="0" fontId="7" fillId="0" borderId="0" pivotButton="0" quotePrefix="0" xfId="0"/>
    <xf numFmtId="0" fontId="3" fillId="3" borderId="1" pivotButton="0" quotePrefix="0" xfId="0"/>
    <xf numFmtId="164" fontId="0" fillId="5" borderId="0" pivotButton="0" quotePrefix="0" xfId="0"/>
    <xf numFmtId="0" fontId="0" fillId="5" borderId="0" pivotButton="0" quotePrefix="0" xfId="0"/>
    <xf numFmtId="0" fontId="3" fillId="3" borderId="0" pivotButton="0" quotePrefix="0" xfId="0"/>
    <xf numFmtId="165" fontId="4" fillId="0" borderId="1" applyAlignment="1" pivotButton="0" quotePrefix="0" xfId="0">
      <alignment vertical="top" wrapText="1"/>
    </xf>
    <xf numFmtId="1" fontId="4" fillId="0" borderId="1" applyAlignment="1" pivotButton="0" quotePrefix="0" xfId="0">
      <alignment vertical="top" wrapText="1"/>
    </xf>
    <xf numFmtId="1" fontId="4" fillId="5" borderId="1" applyAlignment="1" pivotButton="0" quotePrefix="0" xfId="0">
      <alignment vertical="top" wrapText="1"/>
    </xf>
    <xf numFmtId="1" fontId="5" fillId="0" borderId="1" applyAlignment="1" pivotButton="0" quotePrefix="0" xfId="0">
      <alignment vertical="top" wrapText="1"/>
    </xf>
    <xf numFmtId="3" fontId="4" fillId="0" borderId="1" applyAlignment="1" pivotButton="0" quotePrefix="0" xfId="0">
      <alignment vertical="top" wrapText="1"/>
    </xf>
    <xf numFmtId="3" fontId="4" fillId="5" borderId="1" applyAlignment="1" pivotButton="0" quotePrefix="0" xfId="0">
      <alignment vertical="top" wrapText="1"/>
    </xf>
    <xf numFmtId="3" fontId="5" fillId="0" borderId="1" applyAlignment="1" pivotButton="0" quotePrefix="0" xfId="0">
      <alignment vertical="top" wrapText="1"/>
    </xf>
    <xf numFmtId="0" fontId="5" fillId="6" borderId="1" applyAlignment="1" pivotButton="0" quotePrefix="0" xfId="0">
      <alignment vertical="top" wrapText="1"/>
    </xf>
    <xf numFmtId="166" fontId="4" fillId="6" borderId="1" applyAlignment="1" pivotButton="0" quotePrefix="0" xfId="0">
      <alignment vertical="top" wrapText="1"/>
    </xf>
    <xf numFmtId="165" fontId="4" fillId="6" borderId="1" applyAlignment="1" pivotButton="0" quotePrefix="0" xfId="0">
      <alignment vertical="top" wrapText="1"/>
    </xf>
    <xf numFmtId="9" fontId="4" fillId="6" borderId="1" applyAlignment="1" pivotButton="0" quotePrefix="0" xfId="0">
      <alignment vertical="top" wrapText="1"/>
    </xf>
    <xf numFmtId="9" fontId="5" fillId="6" borderId="1" applyAlignment="1" pivotButton="0" quotePrefix="0" xfId="0">
      <alignment vertical="top" wrapText="1"/>
    </xf>
  </cellXfs>
  <cellStyles count="1">
    <cellStyle name="Normal" xfId="0" builtinId="0" hidden="0"/>
  </cellStyles>
  <dxfs count="4">
    <dxf>
      <fill>
        <patternFill patternType="solid">
          <fgColor rgb="00DCEFD9"/>
        </patternFill>
      </fill>
    </dxf>
    <dxf>
      <fill>
        <patternFill patternType="solid">
          <fgColor rgb="00F8D7D7"/>
        </patternFill>
      </fill>
    </dxf>
    <dxf>
      <font>
        <b val="1"/>
        <color rgb="00A06A00"/>
      </font>
      <fill>
        <patternFill patternType="solid">
          <fgColor rgb="00FFF1C9"/>
        </patternFill>
      </fill>
    </dxf>
    <dxf>
      <font>
        <b val="1"/>
        <color rgb="001E6B2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northtexasgivingday.org/p/registration" TargetMode="External" Id="rId1"/><Relationship Type="http://schemas.openxmlformats.org/officeDocument/2006/relationships/hyperlink" Target="https://www.cftexas.org/nonprofits/grants/" TargetMode="External" Id="rId2"/><Relationship Type="http://schemas.openxmlformats.org/officeDocument/2006/relationships/hyperlink" Target="https://www.dallasfoundation.org/our-impact/grant-opportunities/" TargetMode="External" Id="rId3"/><Relationship Type="http://schemas.openxmlformats.org/officeDocument/2006/relationships/hyperlink" Target="https://www.dallasfoundation.org/our-impact/grant-opportunities/" TargetMode="External" Id="rId4"/><Relationship Type="http://schemas.openxmlformats.org/officeDocument/2006/relationships/hyperlink" Target="https://www.mfi.org/how-to-apply/" TargetMode="External" Id="rId5"/><Relationship Type="http://schemas.openxmlformats.org/officeDocument/2006/relationships/hyperlink" Target="https://www.rees-jonesfoundation.org/apply-for-funding/" TargetMode="External" Id="rId6"/><Relationship Type="http://schemas.openxmlformats.org/officeDocument/2006/relationships/hyperlink" Target="https://moodyf.org/application-process/" TargetMode="External" Id="rId7"/><Relationship Type="http://schemas.openxmlformats.org/officeDocument/2006/relationships/hyperlink" Target="https://hoblitzelle.org/how-to-apply" TargetMode="External" Id="rId8"/><Relationship Type="http://schemas.openxmlformats.org/officeDocument/2006/relationships/hyperlink" Target="https://crystalcharity.org/apply-for-funding/" TargetMode="External" Id="rId9"/><Relationship Type="http://schemas.openxmlformats.org/officeDocument/2006/relationships/hyperlink" Target="https://walmart.org/how-we-give/program-guidelines/spark-good-local-grants-guidelines" TargetMode="External" Id="rId10"/><Relationship Type="http://schemas.openxmlformats.org/officeDocument/2006/relationships/hyperlink" Target="https://zerohungerzerowastefoundation.org/how_we_give.html" TargetMode="External" Id="rId11"/><Relationship Type="http://schemas.openxmlformats.org/officeDocument/2006/relationships/hyperlink" Target="https://www.nourishingneighbors.com/" TargetMode="External" Id="rId12"/><Relationship Type="http://schemas.openxmlformats.org/officeDocument/2006/relationships/hyperlink" Target="https://newsroom.heb.com/donation-guidelines/" TargetMode="External" Id="rId13"/><Relationship Type="http://schemas.openxmlformats.org/officeDocument/2006/relationships/hyperlink" Target="https://www.sprouts.com/about/sprouts-foundation/" TargetMode="External" Id="rId14"/><Relationship Type="http://schemas.openxmlformats.org/officeDocument/2006/relationships/hyperlink" Target="https://www.costco.com/charitable-giving.html" TargetMode="External" Id="rId15"/><Relationship Type="http://schemas.openxmlformats.org/officeDocument/2006/relationships/hyperlink" Target="https://www.ti.com/about-ti/citizenship-community/giving/eligible-organizations.html" TargetMode="External" Id="rId16"/><Relationship Type="http://schemas.openxmlformats.org/officeDocument/2006/relationships/hyperlink" Target="https://www.toyotaeffect.com/grant-seekers/" TargetMode="External" Id="rId17"/><Relationship Type="http://schemas.openxmlformats.org/officeDocument/2006/relationships/hyperlink" Target="https://giving.att.com/" TargetMode="External" Id="rId18"/><Relationship Type="http://schemas.openxmlformats.org/officeDocument/2006/relationships/hyperlink" Target="https://community.chipotle.com/faq/" TargetMode="External" Id="rId19"/><Relationship Type="http://schemas.openxmlformats.org/officeDocument/2006/relationships/hyperlink" Target="https://www.cityofcarrollton.com/departments/departments-a-f/community-development/community-development-block-grant-cdbg" TargetMode="External" Id="rId20"/><Relationship Type="http://schemas.openxmlformats.org/officeDocument/2006/relationships/hyperlink" Target="https://ntfb.org/partner-agency/" TargetMode="External" Id="rId21"/><Relationship Type="http://schemas.openxmlformats.org/officeDocument/2006/relationships/hyperlink" Target="https://tafb.org/partners/" TargetMode="External" Id="rId22"/><Relationship Type="http://schemas.openxmlformats.org/officeDocument/2006/relationships/hyperlink" Target="https://www.ccadvance.org/daaa" TargetMode="External" Id="rId23"/><Relationship Type="http://schemas.openxmlformats.org/officeDocument/2006/relationships/hyperlink" Target="https://www.nctcog.org/aging-services/older-adults/contract-services" TargetMode="External" Id="rId24"/><Relationship Type="http://schemas.openxmlformats.org/officeDocument/2006/relationships/hyperlink" Target="https://www.hhs.texas.gov/handbooks/area-agency-aging-policies-procedures-manual/f-1500-administration-nutrition-programs" TargetMode="External" Id="rId25"/><Relationship Type="http://schemas.openxmlformats.org/officeDocument/2006/relationships/hyperlink" Target="https://cfbrotary5810.org/Stories/carrollton-farmers-branch-rotary-club-supports-valuable-community-organizations" TargetMode="External" Id="rId26"/><Relationship Type="http://schemas.openxmlformats.org/officeDocument/2006/relationships/hyperlink" Target="https://www.unitedwaydenton.org/community-impact-grants" TargetMode="External" Id="rId27"/><Relationship Type="http://schemas.openxmlformats.org/officeDocument/2006/relationships/hyperlink" Target="https://www.northtexasgivingday.org/p/AboutUs" TargetMode="External" Id="rId28"/><Relationship Type="http://schemas.openxmlformats.org/officeDocument/2006/relationships/hyperlink" Target="https://www.cftexas.org/about-cft/blog-and-newsroom/north-texas-giving-day-2026/" TargetMode="External" Id="rId29"/><Relationship Type="http://schemas.openxmlformats.org/officeDocument/2006/relationships/hyperlink" Target="https://www.northtexasgivingday.org/p/registration" TargetMode="External" Id="rId30"/><Relationship Type="http://schemas.openxmlformats.org/officeDocument/2006/relationships/hyperlink" Target="https://globalpanchang.com/diwali" TargetMode="External" Id="rId31"/><Relationship Type="http://schemas.openxmlformats.org/officeDocument/2006/relationships/hyperlink" Target="https://www.khaleejtimes.com/uae/ramadan-eid-al-fitr-eid-al-adha-2027-likely-dates" TargetMode="External" Id="rId32"/><Relationship Type="http://schemas.openxmlformats.org/officeDocument/2006/relationships/hyperlink" Target="https://www.texasattorneygeneral.gov/divisions/charitable-trusts/charitable-raffles-and-casinopoker-nights" TargetMode="External" Id="rId33"/><Relationship Type="http://schemas.openxmlformats.org/officeDocument/2006/relationships/hyperlink" Target="https://www.texasattorneygeneral.gov/divisions/charitable-trusts/charitable-raffles-and-casinopoker-nights" TargetMode="External" Id="rId34"/><Relationship Type="http://schemas.openxmlformats.org/officeDocument/2006/relationships/hyperlink" Target="https://statutes.capitol.texas.gov/Docs/OC/htm/OC.2002.htm" TargetMode="External" Id="rId35"/><Relationship Type="http://schemas.openxmlformats.org/officeDocument/2006/relationships/hyperlink" Target="https://www.texasattorneygeneral.gov/divisions/charitable-trusts/charitable-raffles-and-casinopoker-nights" TargetMode="External" Id="rId36"/><Relationship Type="http://schemas.openxmlformats.org/officeDocument/2006/relationships/hyperlink" Target="https://www.texasattorneygeneral.gov/divisions/charitable-trusts/charitable-raffles-and-casinopoker-nights" TargetMode="External" Id="rId37"/><Relationship Type="http://schemas.openxmlformats.org/officeDocument/2006/relationships/hyperlink" Target="https://www.irs.gov/instructions/iw2g" TargetMode="External" Id="rId38"/><Relationship Type="http://schemas.openxmlformats.org/officeDocument/2006/relationships/hyperlink" Target="https://www.irs.gov/charities-non-profits/charitable-organizations/charitable-contributions-written-acknowledgments" TargetMode="External" Id="rId39"/><Relationship Type="http://schemas.openxmlformats.org/officeDocument/2006/relationships/hyperlink" Target="https://www.irs.gov/charities-non-profits/substantiating-charitable-contributions" TargetMode="External" Id="rId40"/><Relationship Type="http://schemas.openxmlformats.org/officeDocument/2006/relationships/hyperlink" Target="https://www.irs.gov/pub/irs-pdf/p1771.pdf" TargetMode="External" Id="rId41"/><Relationship Type="http://schemas.openxmlformats.org/officeDocument/2006/relationships/hyperlink" Target="https://comptroller.texas.gov/taxes/publications/96-122.php" TargetMode="External" Id="rId42"/><Relationship Type="http://schemas.openxmlformats.org/officeDocument/2006/relationships/hyperlink" Target="https://support.stripe.com/questions/fee-discount-for-nonprofit-organizations" TargetMode="External" Id="rId43"/><Relationship Type="http://schemas.openxmlformats.org/officeDocument/2006/relationships/hyperlink" Target="https://www.littlegreenlight.com/pricing/" TargetMode="External" Id="rId44"/><Relationship Type="http://schemas.openxmlformats.org/officeDocument/2006/relationships/hyperlink" Target="https://help.littlegreenlight.com/article/373-enable-your-lgl-forms-account-to-accept-stripe-payments" TargetMode="External" Id="rId45"/><Relationship Type="http://schemas.openxmlformats.org/officeDocument/2006/relationships/hyperlink" Target="https://bloomerang.com/pricing" TargetMode="External" Id="rId46"/><Relationship Type="http://schemas.openxmlformats.org/officeDocument/2006/relationships/hyperlink" Target="https://www.donorperfect.com/fundraising-software/pricing-guide/" TargetMode="External" Id="rId47"/><Relationship Type="http://schemas.openxmlformats.org/officeDocument/2006/relationships/hyperlink" Target="https://givebutter.com/pricing" TargetMode="External" Id="rId48"/><Relationship Type="http://schemas.openxmlformats.org/officeDocument/2006/relationships/hyperlink" Target="https://www.zeffy.com/home/free-online-fundraising-platform" TargetMode="External" Id="rId49"/><Relationship Type="http://schemas.openxmlformats.org/officeDocument/2006/relationships/hyperlink" Target="https://newsroom.heb.com/h-e-b-opens-store-in-irving-as-part-of-continued-dfw-area-expansion/" TargetMode="External" Id="rId50"/><Relationship Type="http://schemas.openxmlformats.org/officeDocument/2006/relationships/hyperlink" Target="https://tafb.org/news/transition-of-denton-county-services/" TargetMode="External" Id="rId51"/><Relationship Type="http://schemas.openxmlformats.org/officeDocument/2006/relationships/hyperlink" Target="https://www.hhs.texas.gov/providers/child-care-regulation/become-a-provider/ccr-licensing-exemptions" TargetMode="External" Id="rId52"/><Relationship Type="http://schemas.openxmlformats.org/officeDocument/2006/relationships/hyperlink" Target="https://zerohungerzerowastefoundation.org/how_we_give.html" TargetMode="External" Id="rId53"/><Relationship Type="http://schemas.openxmlformats.org/officeDocument/2006/relationships/hyperlink" Target="https://walmart.org/how-we-give/program-guidelines/spark-good-local-grants-guidelines" TargetMode="External" Id="rId54"/><Relationship Type="http://schemas.openxmlformats.org/officeDocument/2006/relationships/hyperlink" Target="https://www.dallasfoundation.org/our-impact/grant-opportunities/" TargetMode="External" Id="rId55"/><Relationship Type="http://schemas.openxmlformats.org/officeDocument/2006/relationships/hyperlink" Target="https://www.cityofcarrollton.com/departments/departments-a-f/community-development/community-development-block-grant-cdbg" TargetMode="External" Id="rId56"/></Relationships>
</file>

<file path=xl/worksheets/sheet1.xml><?xml version="1.0" encoding="utf-8"?>
<worksheet xmlns="http://schemas.openxmlformats.org/spreadsheetml/2006/main">
  <sheetPr>
    <tabColor rgb="003D1A6E"/>
    <outlinePr summaryBelow="1" summaryRight="1"/>
    <pageSetUpPr fitToPage="1"/>
  </sheetPr>
  <dimension ref="A1:G18"/>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42" customWidth="1" min="3" max="3"/>
    <col width="32" customWidth="1" min="4" max="4"/>
    <col width="30" customWidth="1" min="5" max="5"/>
    <col width="30" customWidth="1" min="6" max="6"/>
    <col width="14" customWidth="1" min="7" max="7"/>
  </cols>
  <sheetData>
    <row r="1">
      <c r="A1" s="1" t="inlineStr">
        <is>
          <t>12-Month Fundraising Calendar (Nov 2026 - Oct 2027)</t>
        </is>
      </c>
    </row>
    <row r="2">
      <c r="A2" s="2" t="inlineStr">
        <is>
          <t>Goal $ adds up the Master Action Table for each month. Dates checked Oct 13, 2026; '~' = estimate.</t>
        </is>
      </c>
    </row>
    <row r="3" ht="4" customHeight="1">
      <c r="A3" s="3" t="n"/>
      <c r="B3" s="3" t="n"/>
      <c r="C3" s="3" t="n"/>
      <c r="D3" s="3" t="n"/>
      <c r="E3" s="3" t="n"/>
      <c r="F3" s="3" t="n"/>
      <c r="G3" s="3" t="n"/>
    </row>
    <row r="5" ht="30" customHeight="1">
      <c r="A5" s="4" t="inlineStr">
        <is>
          <t>Month</t>
        </is>
      </c>
      <c r="B5" s="4" t="inlineStr">
        <is>
          <t>Theme</t>
        </is>
      </c>
      <c r="C5" s="4" t="inlineStr">
        <is>
          <t>Key dates</t>
        </is>
      </c>
      <c r="D5" s="4" t="inlineStr">
        <is>
          <t>Campaigns</t>
        </is>
      </c>
      <c r="E5" s="4" t="inlineStr">
        <is>
          <t>Grants / funders</t>
        </is>
      </c>
      <c r="F5" s="4" t="inlineStr">
        <is>
          <t>Donor care</t>
        </is>
      </c>
      <c r="G5" s="4" t="inlineStr">
        <is>
          <t>Goal $ (from actions)</t>
        </is>
      </c>
    </row>
    <row r="6">
      <c r="A6" s="5" t="inlineStr">
        <is>
          <t>Nov 2026</t>
        </is>
      </c>
      <c r="B6" s="5" t="inlineStr">
        <is>
          <t>Get ready + first asks</t>
        </is>
      </c>
      <c r="C6" s="5" t="inlineStr">
        <is>
          <t>Nov 2 NTxGD reg. opens; Nov 8 Diwali; Nov 26 Thanksgiving; Nov 30 Walmart deadline</t>
        </is>
      </c>
      <c r="D6" s="5" t="inlineStr">
        <is>
          <t>Maa's Circle launch; Share a Plate</t>
        </is>
      </c>
      <c r="E6" s="5" t="inlineStr">
        <is>
          <t>Walmart; CFT profile</t>
        </is>
      </c>
      <c r="F6" s="5" t="inlineStr">
        <is>
          <t>Set up CRM; 48-hr thank-yous start</t>
        </is>
      </c>
      <c r="G6" s="6">
        <f>SUMIF('Master Action Table'!$A:$A,A6,'Master Action Table'!$D:$D)</f>
        <v/>
      </c>
    </row>
    <row r="7">
      <c r="A7" s="7" t="inlineStr">
        <is>
          <t>Dec 2026</t>
        </is>
      </c>
      <c r="B7" s="7" t="inlineStr">
        <is>
          <t>Year-end giving</t>
        </is>
      </c>
      <c r="C7" s="7" t="inlineStr">
        <is>
          <t>Dec 1 Giving Tuesday; Dec 31 tax year ends</t>
        </is>
      </c>
      <c r="D7" s="7" t="inlineStr">
        <is>
          <t>Giving Tuesday; year-end appeal</t>
        </is>
      </c>
      <c r="E7" s="7" t="inlineStr">
        <is>
          <t>Kroger; Albertsons</t>
        </is>
      </c>
      <c r="F7" s="7" t="inlineStr">
        <is>
          <t>Holiday cards to top 50 donors</t>
        </is>
      </c>
      <c r="G7" s="8">
        <f>SUMIF('Master Action Table'!$A:$A,A7,'Master Action Table'!$D:$D)</f>
        <v/>
      </c>
    </row>
    <row r="8">
      <c r="A8" s="5" t="inlineStr">
        <is>
          <t>Jan 2027</t>
        </is>
      </c>
      <c r="B8" s="5" t="inlineStr">
        <is>
          <t>Thank + build</t>
        </is>
      </c>
      <c r="C8" s="5" t="inlineStr">
        <is>
          <t>Jan 29 year-end statements</t>
        </is>
      </c>
      <c r="D8" s="5" t="inlineStr">
        <is>
          <t>Founding Friends (Maa's Place)</t>
        </is>
      </c>
      <c r="E8" s="5" t="inlineStr">
        <is>
          <t>NTFB (Jan review); Moody; Meadows</t>
        </is>
      </c>
      <c r="F8" s="5" t="inlineStr">
        <is>
          <t>Thank-a-thon calls</t>
        </is>
      </c>
      <c r="G8" s="6">
        <f>SUMIF('Master Action Table'!$A:$A,A8,'Master Action Table'!$D:$D)</f>
        <v/>
      </c>
    </row>
    <row r="9">
      <c r="A9" s="7" t="inlineStr">
        <is>
          <t>Feb 2027</t>
        </is>
      </c>
      <c r="B9" s="7" t="inlineStr">
        <is>
          <t>Ramadan season</t>
        </is>
      </c>
      <c r="C9" s="7" t="inlineStr">
        <is>
          <t>~Feb 8 Ramadan begins; Feb 15 Hoblitzelle window opens</t>
        </is>
      </c>
      <c r="D9" s="7" t="inlineStr">
        <is>
          <t>Share a Meal (faith partners); sponsor tiers</t>
        </is>
      </c>
      <c r="E9" s="7" t="inlineStr">
        <is>
          <t>Walmart cycle 1 (if repeated)</t>
        </is>
      </c>
      <c r="F9" s="7" t="inlineStr">
        <is>
          <t>Impact update #1</t>
        </is>
      </c>
      <c r="G9" s="8">
        <f>SUMIF('Master Action Table'!$A:$A,A9,'Master Action Table'!$D:$D)</f>
        <v/>
      </c>
    </row>
    <row r="10">
      <c r="A10" s="5" t="inlineStr">
        <is>
          <t>Mar 2027</t>
        </is>
      </c>
      <c r="B10" s="5" t="inlineStr">
        <is>
          <t>Maa's Place opens [TBA]</t>
        </is>
      </c>
      <c r="C10" s="5" t="inlineStr">
        <is>
          <t>~Mar 9-10 Eid al-Fitr; Chipotle reopens</t>
        </is>
      </c>
      <c r="D10" s="5" t="inlineStr">
        <is>
          <t>Opening event; Founding Friends close</t>
        </is>
      </c>
      <c r="E10" s="5" t="inlineStr">
        <is>
          <t>Carrollton CDBG (if open); H-E-B</t>
        </is>
      </c>
      <c r="F10" s="5" t="inlineStr">
        <is>
          <t>Tour invites for $250+ donors</t>
        </is>
      </c>
      <c r="G10" s="6">
        <f>SUMIF('Master Action Table'!$A:$A,A10,'Master Action Table'!$D:$D)</f>
        <v/>
      </c>
    </row>
    <row r="11">
      <c r="A11" s="7" t="inlineStr">
        <is>
          <t>Apr 2027</t>
        </is>
      </c>
      <c r="B11" s="7" t="inlineStr">
        <is>
          <t>Dinner prep</t>
        </is>
      </c>
      <c r="C11" s="7" t="inlineStr">
        <is>
          <t>Apr 19 Maa's Day campaign starts</t>
        </is>
      </c>
      <c r="D11" s="7" t="inlineStr">
        <is>
          <t>Dinner sponsors + tickets</t>
        </is>
      </c>
      <c r="E11" s="7" t="inlineStr">
        <is>
          <t>Kroger quarterly</t>
        </is>
      </c>
      <c r="F11" s="7" t="inlineStr">
        <is>
          <t>Volunteer appreciation</t>
        </is>
      </c>
      <c r="G11" s="8">
        <f>SUMIF('Master Action Table'!$A:$A,A11,'Master Action Table'!$D:$D)</f>
        <v/>
      </c>
    </row>
    <row r="12">
      <c r="A12" s="5" t="inlineStr">
        <is>
          <t>May 2027</t>
        </is>
      </c>
      <c r="B12" s="5" t="inlineStr">
        <is>
          <t>Maa's Day</t>
        </is>
      </c>
      <c r="C12" s="5" t="inlineStr">
        <is>
          <t>May 9 Mother's Day</t>
        </is>
      </c>
      <c r="D12" s="5" t="inlineStr">
        <is>
          <t>Maa's Day tributes; Community Dinner</t>
        </is>
      </c>
      <c r="E12" s="5" t="inlineStr">
        <is>
          <t>-</t>
        </is>
      </c>
      <c r="F12" s="5" t="inlineStr">
        <is>
          <t>Dinner thank-yous in 48 hrs</t>
        </is>
      </c>
      <c r="G12" s="6">
        <f>SUMIF('Master Action Table'!$A:$A,A12,'Master Action Table'!$D:$D)</f>
        <v/>
      </c>
    </row>
    <row r="13">
      <c r="A13" s="7" t="inlineStr">
        <is>
          <t>Jun 2027</t>
        </is>
      </c>
      <c r="B13" s="7" t="inlineStr">
        <is>
          <t>Mid-year</t>
        </is>
      </c>
      <c r="C13" s="7" t="inlineStr">
        <is>
          <t>Hoblitzelle 2nd window Jun 15</t>
        </is>
      </c>
      <c r="D13" s="7" t="inlineStr">
        <is>
          <t>Birthday fundraisers</t>
        </is>
      </c>
      <c r="E13" s="7" t="inlineStr">
        <is>
          <t>Dallas Foundation summer (if open)</t>
        </is>
      </c>
      <c r="F13" s="7" t="inlineStr">
        <is>
          <t>Mid-year impact update</t>
        </is>
      </c>
      <c r="G13" s="8">
        <f>SUMIF('Master Action Table'!$A:$A,A13,'Master Action Table'!$D:$D)</f>
        <v/>
      </c>
    </row>
    <row r="14">
      <c r="A14" s="5" t="inlineStr">
        <is>
          <t>Jul 2027</t>
        </is>
      </c>
      <c r="B14" s="5" t="inlineStr">
        <is>
          <t>Summer needs</t>
        </is>
      </c>
      <c r="C14" s="5" t="inlineStr">
        <is>
          <t>-</t>
        </is>
      </c>
      <c r="D14" s="5" t="inlineStr">
        <is>
          <t>Summer senior meals appeal</t>
        </is>
      </c>
      <c r="E14" s="5" t="inlineStr">
        <is>
          <t>Sprouts (if open)</t>
        </is>
      </c>
      <c r="F14" s="5" t="inlineStr">
        <is>
          <t>Monthly donor upgrade ask</t>
        </is>
      </c>
      <c r="G14" s="6">
        <f>SUMIF('Master Action Table'!$A:$A,A14,'Master Action Table'!$D:$D)</f>
        <v/>
      </c>
    </row>
    <row r="15">
      <c r="A15" s="7" t="inlineStr">
        <is>
          <t>Aug 2027</t>
        </is>
      </c>
      <c r="B15" s="7" t="inlineStr">
        <is>
          <t>Giving Day build</t>
        </is>
      </c>
      <c r="C15" s="7" t="inlineStr">
        <is>
          <t>~Late Aug NTxGD early giving</t>
        </is>
      </c>
      <c r="D15" s="7" t="inlineStr">
        <is>
          <t>Peer-to-peer pages; match pool</t>
        </is>
      </c>
      <c r="E15" s="7" t="inlineStr">
        <is>
          <t>Rees-Jones LOI (BSV, if dated)</t>
        </is>
      </c>
      <c r="F15" s="7" t="inlineStr">
        <is>
          <t>Lapsed donor win-back</t>
        </is>
      </c>
      <c r="G15" s="8">
        <f>SUMIF('Master Action Table'!$A:$A,A15,'Master Action Table'!$D:$D)</f>
        <v/>
      </c>
    </row>
    <row r="16">
      <c r="A16" s="5" t="inlineStr">
        <is>
          <t>Sep 2027</t>
        </is>
      </c>
      <c r="B16" s="5" t="inlineStr">
        <is>
          <t>North Texas Giving Day</t>
        </is>
      </c>
      <c r="C16" s="5" t="inlineStr">
        <is>
          <t>Sep 16 NTxGD</t>
        </is>
      </c>
      <c r="D16" s="5" t="inlineStr">
        <is>
          <t>NTxGD push</t>
        </is>
      </c>
      <c r="E16" s="5" t="inlineStr">
        <is>
          <t>-</t>
        </is>
      </c>
      <c r="F16" s="5" t="inlineStr">
        <is>
          <t>Thank all NTxGD donors in 48 hrs</t>
        </is>
      </c>
      <c r="G16" s="6">
        <f>SUMIF('Master Action Table'!$A:$A,A16,'Master Action Table'!$D:$D)</f>
        <v/>
      </c>
    </row>
    <row r="17">
      <c r="A17" s="7" t="inlineStr">
        <is>
          <t>Oct 2027</t>
        </is>
      </c>
      <c r="B17" s="7" t="inlineStr">
        <is>
          <t>Review + plan year 2</t>
        </is>
      </c>
      <c r="C17" s="7" t="inlineStr">
        <is>
          <t>Diwali 2027 (date TBC)</t>
        </is>
      </c>
      <c r="D17" s="7" t="inlineStr">
        <is>
          <t>Annual impact report</t>
        </is>
      </c>
      <c r="E17" s="7" t="inlineStr">
        <is>
          <t>Renewals list</t>
        </is>
      </c>
      <c r="F17" s="7" t="inlineStr">
        <is>
          <t>Donor survey</t>
        </is>
      </c>
      <c r="G17" s="8">
        <f>SUMIF('Master Action Table'!$A:$A,A17,'Master Action Table'!$D:$D)</f>
        <v/>
      </c>
    </row>
    <row r="18">
      <c r="A18" s="9" t="inlineStr">
        <is>
          <t>Total</t>
        </is>
      </c>
      <c r="G18" s="10">
        <f>SUM(G6:G17)</f>
        <v/>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C9A227"/>
    <outlinePr summaryBelow="1" summaryRight="1"/>
    <pageSetUpPr fitToPage="1"/>
  </sheetPr>
  <dimension ref="A1:G49"/>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30" customWidth="1" min="3" max="3"/>
    <col width="12" customWidth="1" min="4" max="4"/>
    <col width="14" customWidth="1" min="5" max="5"/>
    <col width="30" customWidth="1" min="6" max="6"/>
    <col width="12" customWidth="1" min="7" max="7"/>
  </cols>
  <sheetData>
    <row r="1">
      <c r="A1" s="1" t="inlineStr">
        <is>
          <t>Master Action Table</t>
        </is>
      </c>
    </row>
    <row r="2">
      <c r="A2" s="2" t="inlineStr">
        <is>
          <t>Goal $ = planning estimate. Status dropdown. Nothing is sent or submitted without Aslam's approval.</t>
        </is>
      </c>
    </row>
    <row r="3" ht="4" customHeight="1">
      <c r="A3" s="3" t="n"/>
      <c r="B3" s="3" t="n"/>
      <c r="C3" s="3" t="n"/>
      <c r="D3" s="3" t="n"/>
      <c r="E3" s="3" t="n"/>
      <c r="F3" s="3" t="n"/>
      <c r="G3" s="3" t="n"/>
    </row>
    <row r="5" ht="30" customHeight="1">
      <c r="A5" s="4" t="inlineStr">
        <is>
          <t>Month</t>
        </is>
      </c>
      <c r="B5" s="4" t="inlineStr">
        <is>
          <t>Activity</t>
        </is>
      </c>
      <c r="C5" s="4" t="inlineStr">
        <is>
          <t>Owner</t>
        </is>
      </c>
      <c r="D5" s="4" t="inlineStr">
        <is>
          <t>Goal $</t>
        </is>
      </c>
      <c r="E5" s="4" t="inlineStr">
        <is>
          <t>Status</t>
        </is>
      </c>
      <c r="F5" s="4" t="inlineStr">
        <is>
          <t>Due / notes</t>
        </is>
      </c>
      <c r="G5" s="4" t="inlineStr">
        <is>
          <t>Actual $</t>
        </is>
      </c>
    </row>
    <row r="6">
      <c r="A6" s="5" t="inlineStr">
        <is>
          <t>Nov 2026</t>
        </is>
      </c>
      <c r="B6" s="5" t="inlineStr">
        <is>
          <t>Fix donate page: real monthly links, custom amount link, program tags on Meals/BSV pages, IRS receipt text</t>
        </is>
      </c>
      <c r="C6" s="5" t="inlineStr">
        <is>
          <t>Assistant (draft) / Aslam (approve)</t>
        </is>
      </c>
      <c r="D6" s="6" t="n">
        <v>0</v>
      </c>
      <c r="E6" s="5" t="inlineStr">
        <is>
          <t>Not started</t>
        </is>
      </c>
      <c r="F6" s="11" t="inlineStr"/>
      <c r="G6" s="12" t="n"/>
    </row>
    <row r="7">
      <c r="A7" s="7" t="inlineStr">
        <is>
          <t>Nov 2026</t>
        </is>
      </c>
      <c r="B7" s="7" t="inlineStr">
        <is>
          <t>Request Stripe nonprofit rate (2.2% + 30c)</t>
        </is>
      </c>
      <c r="C7" s="7" t="inlineStr">
        <is>
          <t>Aslam</t>
        </is>
      </c>
      <c r="D7" s="8" t="n">
        <v>0</v>
      </c>
      <c r="E7" s="7" t="inlineStr">
        <is>
          <t>Not started</t>
        </is>
      </c>
      <c r="F7" s="11" t="inlineStr"/>
      <c r="G7" s="12" t="n"/>
    </row>
    <row r="8">
      <c r="A8" s="5" t="inlineStr">
        <is>
          <t>Nov 2026</t>
        </is>
      </c>
      <c r="B8" s="5" t="inlineStr">
        <is>
          <t>Set up donor database (Little Green Light) and import Stripe + check/cash records</t>
        </is>
      </c>
      <c r="C8" s="5" t="inlineStr">
        <is>
          <t>Assistant / Staff</t>
        </is>
      </c>
      <c r="D8" s="6" t="n">
        <v>0</v>
      </c>
      <c r="E8" s="5" t="inlineStr">
        <is>
          <t>Not started</t>
        </is>
      </c>
      <c r="F8" s="11" t="inlineStr"/>
      <c r="G8" s="12" t="n"/>
    </row>
    <row r="9">
      <c r="A9" s="7" t="inlineStr">
        <is>
          <t>Nov 2026</t>
        </is>
      </c>
      <c r="B9" s="7" t="inlineStr">
        <is>
          <t>Launch Maa's Circle monthly giving (goal: 40 monthly donors by Dec 31)</t>
        </is>
      </c>
      <c r="C9" s="7" t="inlineStr">
        <is>
          <t>Aslam / Assistant</t>
        </is>
      </c>
      <c r="D9" s="8" t="n">
        <v>1500</v>
      </c>
      <c r="E9" s="7" t="inlineStr">
        <is>
          <t>Not started</t>
        </is>
      </c>
      <c r="F9" s="11" t="inlineStr"/>
      <c r="G9" s="12" t="n"/>
    </row>
    <row r="10">
      <c r="A10" s="5" t="inlineStr">
        <is>
          <t>Nov 2026</t>
        </is>
      </c>
      <c r="B10" s="5" t="inlineStr">
        <is>
          <t>Walmart Spark Good applications to 2-3 nearby stores (deadline Nov 30)</t>
        </is>
      </c>
      <c r="C10" s="5" t="inlineStr">
        <is>
          <t>Assistant (draft) / Aslam (submit)</t>
        </is>
      </c>
      <c r="D10" s="6" t="n">
        <v>5000</v>
      </c>
      <c r="E10" s="5" t="inlineStr">
        <is>
          <t>Not started</t>
        </is>
      </c>
      <c r="F10" s="11" t="inlineStr"/>
      <c r="G10" s="12" t="n"/>
    </row>
    <row r="11">
      <c r="A11" s="7" t="inlineStr">
        <is>
          <t>Nov 2026</t>
        </is>
      </c>
      <c r="B11" s="7" t="inlineStr">
        <is>
          <t>Register for North Texas Giving Day 2027 (opens Nov 2)</t>
        </is>
      </c>
      <c r="C11" s="7" t="inlineStr">
        <is>
          <t>Assistant / Aslam</t>
        </is>
      </c>
      <c r="D11" s="8" t="n">
        <v>0</v>
      </c>
      <c r="E11" s="7" t="inlineStr">
        <is>
          <t>Not started</t>
        </is>
      </c>
      <c r="F11" s="11" t="inlineStr"/>
      <c r="G11" s="12" t="n"/>
    </row>
    <row r="12">
      <c r="A12" s="5" t="inlineStr">
        <is>
          <t>Nov 2026</t>
        </is>
      </c>
      <c r="B12" s="5" t="inlineStr">
        <is>
          <t>Complete CFT Nonprofit Gateway Profile</t>
        </is>
      </c>
      <c r="C12" s="5" t="inlineStr">
        <is>
          <t>Assistant (draft) / Aslam</t>
        </is>
      </c>
      <c r="D12" s="6" t="n">
        <v>0</v>
      </c>
      <c r="E12" s="5" t="inlineStr">
        <is>
          <t>Not started</t>
        </is>
      </c>
      <c r="F12" s="11" t="inlineStr"/>
      <c r="G12" s="12" t="n"/>
    </row>
    <row r="13">
      <c r="A13" s="7" t="inlineStr">
        <is>
          <t>Nov 2026</t>
        </is>
      </c>
      <c r="B13" s="7" t="inlineStr">
        <is>
          <t>Diwali (Nov 8) + Thanksgiving (Nov 26) 'Share a Plate' with partner temples/businesses</t>
        </is>
      </c>
      <c r="C13" s="7" t="inlineStr">
        <is>
          <t>Aslam / Volunteer</t>
        </is>
      </c>
      <c r="D13" s="8" t="n">
        <v>6000</v>
      </c>
      <c r="E13" s="7" t="inlineStr">
        <is>
          <t>Not started</t>
        </is>
      </c>
      <c r="F13" s="11" t="inlineStr"/>
      <c r="G13" s="12" t="n"/>
    </row>
    <row r="14">
      <c r="A14" s="5" t="inlineStr">
        <is>
          <t>Nov 2026</t>
        </is>
      </c>
      <c r="B14" s="5" t="inlineStr">
        <is>
          <t>Recruit 3 board/fundraising committee members</t>
        </is>
      </c>
      <c r="C14" s="5" t="inlineStr">
        <is>
          <t>Aslam</t>
        </is>
      </c>
      <c r="D14" s="6" t="n">
        <v>0</v>
      </c>
      <c r="E14" s="5" t="inlineStr">
        <is>
          <t>Not started</t>
        </is>
      </c>
      <c r="F14" s="11" t="inlineStr"/>
      <c r="G14" s="12" t="n"/>
    </row>
    <row r="15">
      <c r="A15" s="7" t="inlineStr">
        <is>
          <t>Dec 2026</t>
        </is>
      </c>
      <c r="B15" s="7" t="inlineStr">
        <is>
          <t>Giving Tuesday Dec 1 (match from 1-2 sponsors)</t>
        </is>
      </c>
      <c r="C15" s="7" t="inlineStr">
        <is>
          <t>Aslam / Assistant</t>
        </is>
      </c>
      <c r="D15" s="8" t="n">
        <v>8000</v>
      </c>
      <c r="E15" s="7" t="inlineStr">
        <is>
          <t>Not started</t>
        </is>
      </c>
      <c r="F15" s="11" t="inlineStr"/>
      <c r="G15" s="12" t="n"/>
    </row>
    <row r="16">
      <c r="A16" s="5" t="inlineStr">
        <is>
          <t>Dec 2026</t>
        </is>
      </c>
      <c r="B16" s="5" t="inlineStr">
        <is>
          <t>Year-end appeal: letter + 4 emails (Dec 1, 15, 29, 31)</t>
        </is>
      </c>
      <c r="C16" s="5" t="inlineStr">
        <is>
          <t>Assistant (draft) / Aslam</t>
        </is>
      </c>
      <c r="D16" s="6" t="n">
        <v>12000</v>
      </c>
      <c r="E16" s="5" t="inlineStr">
        <is>
          <t>Not started</t>
        </is>
      </c>
      <c r="F16" s="11" t="inlineStr"/>
      <c r="G16" s="12" t="n"/>
    </row>
    <row r="17">
      <c r="A17" s="7" t="inlineStr">
        <is>
          <t>Dec 2026</t>
        </is>
      </c>
      <c r="B17" s="7" t="inlineStr">
        <is>
          <t>Kroger + Albertsons/Nourishing Neighbors requests</t>
        </is>
      </c>
      <c r="C17" s="7" t="inlineStr">
        <is>
          <t>Assistant (draft) / Aslam</t>
        </is>
      </c>
      <c r="D17" s="8" t="n">
        <v>3000</v>
      </c>
      <c r="E17" s="7" t="inlineStr">
        <is>
          <t>Not started</t>
        </is>
      </c>
      <c r="F17" s="11" t="inlineStr"/>
      <c r="G17" s="12" t="n"/>
    </row>
    <row r="18">
      <c r="A18" s="5" t="inlineStr">
        <is>
          <t>Dec 2026</t>
        </is>
      </c>
      <c r="B18" s="5" t="inlineStr">
        <is>
          <t>Restaurant give-back night #1 (existing partner)</t>
        </is>
      </c>
      <c r="C18" s="5" t="inlineStr">
        <is>
          <t>Volunteer</t>
        </is>
      </c>
      <c r="D18" s="6" t="n">
        <v>800</v>
      </c>
      <c r="E18" s="5" t="inlineStr">
        <is>
          <t>Not started</t>
        </is>
      </c>
      <c r="F18" s="11" t="inlineStr"/>
      <c r="G18" s="12" t="n"/>
    </row>
    <row r="19">
      <c r="A19" s="7" t="inlineStr">
        <is>
          <t>Jan 2027</t>
        </is>
      </c>
      <c r="B19" s="7" t="inlineStr">
        <is>
          <t>Year-end giving statements sent by Jan 29</t>
        </is>
      </c>
      <c r="C19" s="7" t="inlineStr">
        <is>
          <t>Assistant / Aslam</t>
        </is>
      </c>
      <c r="D19" s="8" t="n">
        <v>0</v>
      </c>
      <c r="E19" s="7" t="inlineStr">
        <is>
          <t>Not started</t>
        </is>
      </c>
      <c r="F19" s="11" t="inlineStr"/>
      <c r="G19" s="12" t="n"/>
    </row>
    <row r="20">
      <c r="A20" s="5" t="inlineStr">
        <is>
          <t>Jan 2027</t>
        </is>
      </c>
      <c r="B20" s="5" t="inlineStr">
        <is>
          <t>Thank-a-thon: call every $250+ and every monthly donor</t>
        </is>
      </c>
      <c r="C20" s="5" t="inlineStr">
        <is>
          <t>Aslam / Volunteers</t>
        </is>
      </c>
      <c r="D20" s="6" t="n">
        <v>0</v>
      </c>
      <c r="E20" s="5" t="inlineStr">
        <is>
          <t>Not started</t>
        </is>
      </c>
      <c r="F20" s="11" t="inlineStr"/>
      <c r="G20" s="12" t="n"/>
    </row>
    <row r="21">
      <c r="A21" s="7" t="inlineStr">
        <is>
          <t>Jan 2027</t>
        </is>
      </c>
      <c r="B21" s="7" t="inlineStr">
        <is>
          <t>NTFB partner agency application (Jan quarterly review)</t>
        </is>
      </c>
      <c r="C21" s="7" t="inlineStr">
        <is>
          <t>Aslam / Staff</t>
        </is>
      </c>
      <c r="D21" s="8" t="n">
        <v>0</v>
      </c>
      <c r="E21" s="7" t="inlineStr">
        <is>
          <t>Not started</t>
        </is>
      </c>
      <c r="F21" s="11" t="inlineStr"/>
      <c r="G21" s="12" t="n"/>
    </row>
    <row r="22">
      <c r="A22" s="5" t="inlineStr">
        <is>
          <t>Jan 2027</t>
        </is>
      </c>
      <c r="B22" s="5" t="inlineStr">
        <is>
          <t>Maa's Place 'Founding Friends' campaign kickoff</t>
        </is>
      </c>
      <c r="C22" s="5" t="inlineStr">
        <is>
          <t>Aslam / Staff</t>
        </is>
      </c>
      <c r="D22" s="6" t="n">
        <v>10000</v>
      </c>
      <c r="E22" s="5" t="inlineStr">
        <is>
          <t>Not started</t>
        </is>
      </c>
      <c r="F22" s="11" t="inlineStr"/>
      <c r="G22" s="12" t="n"/>
    </row>
    <row r="23">
      <c r="A23" s="7" t="inlineStr">
        <is>
          <t>Jan 2027</t>
        </is>
      </c>
      <c r="B23" s="7" t="inlineStr">
        <is>
          <t>Moody + Meadows inquiries for Maa's Place</t>
        </is>
      </c>
      <c r="C23" s="7" t="inlineStr">
        <is>
          <t>Assistant (draft) / Aslam</t>
        </is>
      </c>
      <c r="D23" s="8" t="n">
        <v>0</v>
      </c>
      <c r="E23" s="7" t="inlineStr">
        <is>
          <t>Not started</t>
        </is>
      </c>
      <c r="F23" s="11" t="inlineStr"/>
      <c r="G23" s="12" t="n"/>
    </row>
    <row r="24">
      <c r="A24" s="5" t="inlineStr">
        <is>
          <t>Feb 2027</t>
        </is>
      </c>
      <c r="B24" s="5" t="inlineStr">
        <is>
          <t>Business sponsorship tiers sent to 20 local businesses (after approval)</t>
        </is>
      </c>
      <c r="C24" s="5" t="inlineStr">
        <is>
          <t>Aslam</t>
        </is>
      </c>
      <c r="D24" s="6" t="n">
        <v>15000</v>
      </c>
      <c r="E24" s="5" t="inlineStr">
        <is>
          <t>Not started</t>
        </is>
      </c>
      <c r="F24" s="11" t="inlineStr"/>
      <c r="G24" s="12" t="n"/>
    </row>
    <row r="25">
      <c r="A25" s="7" t="inlineStr">
        <is>
          <t>Feb 2027</t>
        </is>
      </c>
      <c r="B25" s="7" t="inlineStr">
        <is>
          <t>Ramadan 'Share a Meal' with mosques/community partners (~Feb 8-Mar 9)</t>
        </is>
      </c>
      <c r="C25" s="7" t="inlineStr">
        <is>
          <t>Aslam</t>
        </is>
      </c>
      <c r="D25" s="8" t="n">
        <v>20000</v>
      </c>
      <c r="E25" s="7" t="inlineStr">
        <is>
          <t>Not started</t>
        </is>
      </c>
      <c r="F25" s="11" t="inlineStr"/>
      <c r="G25" s="12" t="n"/>
    </row>
    <row r="26">
      <c r="A26" s="5" t="inlineStr">
        <is>
          <t>Feb 2027</t>
        </is>
      </c>
      <c r="B26" s="5" t="inlineStr">
        <is>
          <t>Restaurant give-back night #2</t>
        </is>
      </c>
      <c r="C26" s="5" t="inlineStr">
        <is>
          <t>Volunteer</t>
        </is>
      </c>
      <c r="D26" s="6" t="n">
        <v>800</v>
      </c>
      <c r="E26" s="5" t="inlineStr">
        <is>
          <t>Not started</t>
        </is>
      </c>
      <c r="F26" s="11" t="inlineStr"/>
      <c r="G26" s="12" t="n"/>
    </row>
    <row r="27">
      <c r="A27" s="7" t="inlineStr">
        <is>
          <t>Mar 2027</t>
        </is>
      </c>
      <c r="B27" s="7" t="inlineStr">
        <is>
          <t>Carrollton CDBG application (if open, spring 2027)</t>
        </is>
      </c>
      <c r="C27" s="7" t="inlineStr">
        <is>
          <t>Assistant (draft) / Aslam</t>
        </is>
      </c>
      <c r="D27" s="8" t="n">
        <v>10000</v>
      </c>
      <c r="E27" s="7" t="inlineStr">
        <is>
          <t>Not started</t>
        </is>
      </c>
      <c r="F27" s="11" t="inlineStr"/>
      <c r="G27" s="12" t="n"/>
    </row>
    <row r="28">
      <c r="A28" s="5" t="inlineStr">
        <is>
          <t>Mar 2027</t>
        </is>
      </c>
      <c r="B28" s="5" t="inlineStr">
        <is>
          <t>Maa's Place opening event + Founding Friends close [date TBA]</t>
        </is>
      </c>
      <c r="C28" s="5" t="inlineStr">
        <is>
          <t>Aslam / Staff</t>
        </is>
      </c>
      <c r="D28" s="6" t="n">
        <v>15000</v>
      </c>
      <c r="E28" s="5" t="inlineStr">
        <is>
          <t>Not started</t>
        </is>
      </c>
      <c r="F28" s="11" t="inlineStr"/>
      <c r="G28" s="12" t="n"/>
    </row>
    <row r="29">
      <c r="A29" s="7" t="inlineStr">
        <is>
          <t>Mar 2027</t>
        </is>
      </c>
      <c r="B29" s="7" t="inlineStr">
        <is>
          <t>Chipotle fundraiser application (reopens March)</t>
        </is>
      </c>
      <c r="C29" s="7" t="inlineStr">
        <is>
          <t>Volunteer</t>
        </is>
      </c>
      <c r="D29" s="8" t="n">
        <v>0</v>
      </c>
      <c r="E29" s="7" t="inlineStr">
        <is>
          <t>Not started</t>
        </is>
      </c>
      <c r="F29" s="11" t="inlineStr"/>
      <c r="G29" s="12" t="n"/>
    </row>
    <row r="30">
      <c r="A30" s="5" t="inlineStr">
        <is>
          <t>Mar 2027</t>
        </is>
      </c>
      <c r="B30" s="5" t="inlineStr">
        <is>
          <t>H-E-B request for Community Dinner (8+ weeks ahead)</t>
        </is>
      </c>
      <c r="C30" s="5" t="inlineStr">
        <is>
          <t>Assistant (draft) / Aslam</t>
        </is>
      </c>
      <c r="D30" s="6" t="n">
        <v>1000</v>
      </c>
      <c r="E30" s="5" t="inlineStr">
        <is>
          <t>Not started</t>
        </is>
      </c>
      <c r="F30" s="11" t="inlineStr"/>
      <c r="G30" s="12" t="n"/>
    </row>
    <row r="31">
      <c r="A31" s="7" t="inlineStr">
        <is>
          <t>Apr 2027</t>
        </is>
      </c>
      <c r="B31" s="7" t="inlineStr">
        <is>
          <t>Community Dinner: venue, sponsors, tickets with quid pro quo disclosure</t>
        </is>
      </c>
      <c r="C31" s="7" t="inlineStr">
        <is>
          <t>Aslam / Volunteer lead</t>
        </is>
      </c>
      <c r="D31" s="8" t="n">
        <v>0</v>
      </c>
      <c r="E31" s="7" t="inlineStr">
        <is>
          <t>Not started</t>
        </is>
      </c>
      <c r="F31" s="11" t="inlineStr"/>
      <c r="G31" s="12" t="n"/>
    </row>
    <row r="32">
      <c r="A32" s="5" t="inlineStr">
        <is>
          <t>Apr 2027</t>
        </is>
      </c>
      <c r="B32" s="5" t="inlineStr">
        <is>
          <t>Volunteer appreciation + peer-to-peer captains recruited</t>
        </is>
      </c>
      <c r="C32" s="5" t="inlineStr">
        <is>
          <t>Staff</t>
        </is>
      </c>
      <c r="D32" s="6" t="n">
        <v>0</v>
      </c>
      <c r="E32" s="5" t="inlineStr">
        <is>
          <t>Not started</t>
        </is>
      </c>
      <c r="F32" s="11" t="inlineStr"/>
      <c r="G32" s="12" t="n"/>
    </row>
    <row r="33">
      <c r="A33" s="7" t="inlineStr">
        <is>
          <t>Apr 2027</t>
        </is>
      </c>
      <c r="B33" s="7" t="inlineStr">
        <is>
          <t>Restaurant give-back night #3</t>
        </is>
      </c>
      <c r="C33" s="7" t="inlineStr">
        <is>
          <t>Volunteer</t>
        </is>
      </c>
      <c r="D33" s="8" t="n">
        <v>800</v>
      </c>
      <c r="E33" s="7" t="inlineStr">
        <is>
          <t>Not started</t>
        </is>
      </c>
      <c r="F33" s="11" t="inlineStr"/>
      <c r="G33" s="12" t="n"/>
    </row>
    <row r="34">
      <c r="A34" s="5" t="inlineStr">
        <is>
          <t>May 2027</t>
        </is>
      </c>
      <c r="B34" s="5" t="inlineStr">
        <is>
          <t>Maa's Day tribute campaign (Apr 19-May 9)</t>
        </is>
      </c>
      <c r="C34" s="5" t="inlineStr">
        <is>
          <t>Assistant / Aslam</t>
        </is>
      </c>
      <c r="D34" s="6" t="n">
        <v>10000</v>
      </c>
      <c r="E34" s="5" t="inlineStr">
        <is>
          <t>Not started</t>
        </is>
      </c>
      <c r="F34" s="11" t="inlineStr"/>
      <c r="G34" s="12" t="n"/>
    </row>
    <row r="35">
      <c r="A35" s="7" t="inlineStr">
        <is>
          <t>May 2027</t>
        </is>
      </c>
      <c r="B35" s="7" t="inlineStr">
        <is>
          <t>Annual Community Dinner 'Love All, Serve All' (net)</t>
        </is>
      </c>
      <c r="C35" s="7" t="inlineStr">
        <is>
          <t>Aslam / Volunteer lead</t>
        </is>
      </c>
      <c r="D35" s="8" t="n">
        <v>30000</v>
      </c>
      <c r="E35" s="7" t="inlineStr">
        <is>
          <t>Not started</t>
        </is>
      </c>
      <c r="F35" s="11" t="inlineStr"/>
      <c r="G35" s="12" t="n"/>
    </row>
    <row r="36">
      <c r="A36" s="5" t="inlineStr">
        <is>
          <t>Jun 2027</t>
        </is>
      </c>
      <c r="B36" s="5" t="inlineStr">
        <is>
          <t>Dallas Foundation Summer cycle (if open)</t>
        </is>
      </c>
      <c r="C36" s="5" t="inlineStr">
        <is>
          <t>Assistant (draft) / Aslam</t>
        </is>
      </c>
      <c r="D36" s="6" t="n">
        <v>25000</v>
      </c>
      <c r="E36" s="5" t="inlineStr">
        <is>
          <t>Not started</t>
        </is>
      </c>
      <c r="F36" s="11" t="inlineStr"/>
      <c r="G36" s="12" t="n"/>
    </row>
    <row r="37">
      <c r="A37" s="7" t="inlineStr">
        <is>
          <t>Jun 2027</t>
        </is>
      </c>
      <c r="B37" s="7" t="inlineStr">
        <is>
          <t>Mid-year impact update to all donors</t>
        </is>
      </c>
      <c r="C37" s="7" t="inlineStr">
        <is>
          <t>Assistant / Aslam</t>
        </is>
      </c>
      <c r="D37" s="8" t="n">
        <v>0</v>
      </c>
      <c r="E37" s="7" t="inlineStr">
        <is>
          <t>Not started</t>
        </is>
      </c>
      <c r="F37" s="11" t="inlineStr"/>
      <c r="G37" s="12" t="n"/>
    </row>
    <row r="38">
      <c r="A38" s="5" t="inlineStr">
        <is>
          <t>Jun 2027</t>
        </is>
      </c>
      <c r="B38" s="5" t="inlineStr">
        <is>
          <t>Restaurant give-back night #4</t>
        </is>
      </c>
      <c r="C38" s="5" t="inlineStr">
        <is>
          <t>Volunteer</t>
        </is>
      </c>
      <c r="D38" s="6" t="n">
        <v>800</v>
      </c>
      <c r="E38" s="5" t="inlineStr">
        <is>
          <t>Not started</t>
        </is>
      </c>
      <c r="F38" s="11" t="inlineStr"/>
      <c r="G38" s="12" t="n"/>
    </row>
    <row r="39">
      <c r="A39" s="7" t="inlineStr">
        <is>
          <t>Jul 2027</t>
        </is>
      </c>
      <c r="B39" s="7" t="inlineStr">
        <is>
          <t>Summer senior meals appeal (heat)</t>
        </is>
      </c>
      <c r="C39" s="7" t="inlineStr">
        <is>
          <t>Assistant / Aslam</t>
        </is>
      </c>
      <c r="D39" s="8" t="n">
        <v>5000</v>
      </c>
      <c r="E39" s="7" t="inlineStr">
        <is>
          <t>Not started</t>
        </is>
      </c>
      <c r="F39" s="11" t="inlineStr"/>
      <c r="G39" s="12" t="n"/>
    </row>
    <row r="40">
      <c r="A40" s="5" t="inlineStr">
        <is>
          <t>Jul 2027</t>
        </is>
      </c>
      <c r="B40" s="5" t="inlineStr">
        <is>
          <t>Secure NTxGD match pool from 2-3 sponsors</t>
        </is>
      </c>
      <c r="C40" s="5" t="inlineStr">
        <is>
          <t>Aslam</t>
        </is>
      </c>
      <c r="D40" s="6" t="n">
        <v>5000</v>
      </c>
      <c r="E40" s="5" t="inlineStr">
        <is>
          <t>Not started</t>
        </is>
      </c>
      <c r="F40" s="11" t="inlineStr"/>
      <c r="G40" s="12" t="n"/>
    </row>
    <row r="41">
      <c r="A41" s="7" t="inlineStr">
        <is>
          <t>Aug 2027</t>
        </is>
      </c>
      <c r="B41" s="7" t="inlineStr">
        <is>
          <t>NTxGD early giving opens (~late Aug); peer-to-peer pages live</t>
        </is>
      </c>
      <c r="C41" s="7" t="inlineStr">
        <is>
          <t>Assistant / Volunteers</t>
        </is>
      </c>
      <c r="D41" s="8" t="n">
        <v>0</v>
      </c>
      <c r="E41" s="7" t="inlineStr">
        <is>
          <t>Not started</t>
        </is>
      </c>
      <c r="F41" s="11" t="inlineStr"/>
      <c r="G41" s="12" t="n"/>
    </row>
    <row r="42">
      <c r="A42" s="5" t="inlineStr">
        <is>
          <t>Aug 2027</t>
        </is>
      </c>
      <c r="B42" s="5" t="inlineStr">
        <is>
          <t>BSV 'Founding Families' case + Rees-Jones LOI (if opening date set)</t>
        </is>
      </c>
      <c r="C42" s="5" t="inlineStr">
        <is>
          <t>Assistant (draft) / Aslam</t>
        </is>
      </c>
      <c r="D42" s="6" t="n">
        <v>0</v>
      </c>
      <c r="E42" s="5" t="inlineStr">
        <is>
          <t>Not started</t>
        </is>
      </c>
      <c r="F42" s="11" t="inlineStr"/>
      <c r="G42" s="12" t="n"/>
    </row>
    <row r="43">
      <c r="A43" s="7" t="inlineStr">
        <is>
          <t>Aug 2027</t>
        </is>
      </c>
      <c r="B43" s="7" t="inlineStr">
        <is>
          <t>Restaurant give-back night #5</t>
        </is>
      </c>
      <c r="C43" s="7" t="inlineStr">
        <is>
          <t>Volunteer</t>
        </is>
      </c>
      <c r="D43" s="8" t="n">
        <v>800</v>
      </c>
      <c r="E43" s="7" t="inlineStr">
        <is>
          <t>Not started</t>
        </is>
      </c>
      <c r="F43" s="11" t="inlineStr"/>
      <c r="G43" s="12" t="n"/>
    </row>
    <row r="44">
      <c r="A44" s="5" t="inlineStr">
        <is>
          <t>Sep 2027</t>
        </is>
      </c>
      <c r="B44" s="5" t="inlineStr">
        <is>
          <t>North Texas Giving Day Thu Sep 16</t>
        </is>
      </c>
      <c r="C44" s="5" t="inlineStr">
        <is>
          <t>Aslam / Assistant</t>
        </is>
      </c>
      <c r="D44" s="6" t="n">
        <v>12000</v>
      </c>
      <c r="E44" s="5" t="inlineStr">
        <is>
          <t>Not started</t>
        </is>
      </c>
      <c r="F44" s="11" t="inlineStr"/>
      <c r="G44" s="12" t="n"/>
    </row>
    <row r="45">
      <c r="A45" s="7" t="inlineStr">
        <is>
          <t>Oct 2027</t>
        </is>
      </c>
      <c r="B45" s="7" t="inlineStr">
        <is>
          <t>12-month review: metrics, donor retention, plan for year 2</t>
        </is>
      </c>
      <c r="C45" s="7" t="inlineStr">
        <is>
          <t>Aslam / Assistant</t>
        </is>
      </c>
      <c r="D45" s="8" t="n">
        <v>0</v>
      </c>
      <c r="E45" s="7" t="inlineStr">
        <is>
          <t>Not started</t>
        </is>
      </c>
      <c r="F45" s="11" t="inlineStr"/>
      <c r="G45" s="12" t="n"/>
    </row>
    <row r="46">
      <c r="A46" s="5" t="inlineStr">
        <is>
          <t>Oct 2027</t>
        </is>
      </c>
      <c r="B46" s="5" t="inlineStr">
        <is>
          <t>Annual impact report + Diwali 2027 drive</t>
        </is>
      </c>
      <c r="C46" s="5" t="inlineStr">
        <is>
          <t>Assistant / Aslam</t>
        </is>
      </c>
      <c r="D46" s="6" t="n">
        <v>3000</v>
      </c>
      <c r="E46" s="5" t="inlineStr">
        <is>
          <t>Not started</t>
        </is>
      </c>
      <c r="F46" s="11" t="inlineStr"/>
      <c r="G46" s="12" t="n"/>
    </row>
    <row r="47">
      <c r="A47" s="7" t="inlineStr">
        <is>
          <t>Oct 2027</t>
        </is>
      </c>
      <c r="B47" s="7" t="inlineStr">
        <is>
          <t>Restaurant give-back night #6</t>
        </is>
      </c>
      <c r="C47" s="7" t="inlineStr">
        <is>
          <t>Volunteer</t>
        </is>
      </c>
      <c r="D47" s="8" t="n">
        <v>800</v>
      </c>
      <c r="E47" s="7" t="inlineStr">
        <is>
          <t>Not started</t>
        </is>
      </c>
      <c r="F47" s="11" t="inlineStr"/>
      <c r="G47" s="12" t="n"/>
    </row>
    <row r="48">
      <c r="A48" s="9" t="inlineStr">
        <is>
          <t>Total</t>
        </is>
      </c>
      <c r="D48" s="10">
        <f>SUM(D6:D47)</f>
        <v/>
      </c>
      <c r="G48" s="10">
        <f>SUM(G6:G47)</f>
        <v/>
      </c>
    </row>
    <row r="49">
      <c r="A49" s="9" t="inlineStr">
        <is>
          <t>Done</t>
        </is>
      </c>
      <c r="D49" s="5">
        <f>COUNTIF(E6:E47,"Done")&amp;" of "&amp;COUNTA(B6:B47)</f>
        <v/>
      </c>
    </row>
  </sheetData>
  <autoFilter ref="A5:G47"/>
  <conditionalFormatting sqref="E6:E47">
    <cfRule type="cellIs" priority="1" operator="equal" dxfId="0">
      <formula>"Done"</formula>
    </cfRule>
    <cfRule type="cellIs" priority="2" operator="equal" dxfId="1">
      <formula>"Blocked"</formula>
    </cfRule>
  </conditionalFormatting>
  <dataValidations count="1">
    <dataValidation sqref="E6 E7 E8 E9 E10 E11 E12 E13 E14 E15 E16 E17 E18 E19 E20 E21 E22 E23 E24 E25 E26 E27 E28 E29 E30 E31 E32 E33 E34 E35 E36 E37 E38 E39 E40 E41 E42 E43 E44 E45 E46 E47" showDropDown="0" showInputMessage="0" showErrorMessage="0" allowBlank="1" type="list">
      <formula1>"Not started,In progress,Done,Blocked,Dropped"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3D1A6E"/>
    <outlinePr summaryBelow="1" summaryRight="1"/>
    <pageSetUpPr fitToPage="1"/>
  </sheetPr>
  <dimension ref="A1:O72"/>
  <sheetViews>
    <sheetView zoomScale="100" workbookViewId="0">
      <pane xSplit="2" ySplit="6" topLeftCell="C7"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16" customWidth="1" min="3" max="3"/>
    <col width="16" customWidth="1" min="4" max="4"/>
    <col width="40" customWidth="1" min="5" max="5"/>
    <col width="22" customWidth="1" min="6" max="6"/>
    <col width="36" customWidth="1" min="7" max="7"/>
    <col width="30" customWidth="1" min="8" max="8"/>
    <col width="11" customWidth="1" min="9" max="9"/>
    <col width="40" customWidth="1" min="10" max="10"/>
    <col width="34" customWidth="1" min="11" max="11"/>
    <col width="22" customWidth="1" min="12" max="12"/>
    <col width="15" customWidth="1" min="13" max="13"/>
    <col width="12" customWidth="1" min="14" max="14"/>
    <col width="24" customWidth="1" min="15" max="15"/>
  </cols>
  <sheetData>
    <row r="1">
      <c r="A1" s="1" t="inlineStr">
        <is>
          <t>Funders and Programs (checked Oct 13, 2026)</t>
        </is>
      </c>
    </row>
    <row r="2">
      <c r="A2" s="2" t="inlineStr">
        <is>
          <t>Verified = program, eligibility and link confirmed on an official page. 'Unverified' text inside a cell means that detail is not confirmed. Do not contact anyone without Aslam's approval.</t>
        </is>
      </c>
    </row>
    <row r="3" ht="4" customHeight="1">
      <c r="A3" s="3" t="n"/>
      <c r="B3" s="3" t="n"/>
      <c r="C3" s="3" t="n"/>
      <c r="D3" s="3" t="n"/>
      <c r="E3" s="3" t="n"/>
      <c r="F3" s="3" t="n"/>
      <c r="G3" s="3" t="n"/>
      <c r="H3" s="3" t="n"/>
      <c r="I3" s="3" t="n"/>
      <c r="J3" s="3" t="n"/>
      <c r="K3" s="3" t="n"/>
      <c r="L3" s="3" t="n"/>
      <c r="M3" s="3" t="n"/>
      <c r="N3" s="3" t="n"/>
      <c r="O3" s="3" t="n"/>
    </row>
    <row r="4">
      <c r="A4" s="13" t="inlineStr">
        <is>
          <t>Verified:</t>
        </is>
      </c>
      <c r="B4">
        <f>COUNTIF(I7:I36,"Verified")</f>
        <v/>
      </c>
      <c r="C4" s="13" t="inlineStr">
        <is>
          <t>Unverified:</t>
        </is>
      </c>
      <c r="D4">
        <f>COUNTIF(I7:I36,"Unverified")</f>
        <v/>
      </c>
      <c r="F4" s="13" t="inlineStr">
        <is>
          <t>Facts verified:</t>
        </is>
      </c>
      <c r="G4">
        <f>COUNTIF(I41:I72,"Verified")</f>
        <v/>
      </c>
      <c r="H4" s="13" t="inlineStr">
        <is>
          <t>Facts unverified:</t>
        </is>
      </c>
      <c r="I4">
        <f>COUNTIF(I41:I72,"Unverified")</f>
        <v/>
      </c>
    </row>
    <row r="6" ht="30" customHeight="1">
      <c r="A6" s="4" t="inlineStr">
        <is>
          <t>#</t>
        </is>
      </c>
      <c r="B6" s="4" t="inlineStr">
        <is>
          <t>Funder / program</t>
        </is>
      </c>
      <c r="C6" s="4" t="inlineStr">
        <is>
          <t>Category</t>
        </is>
      </c>
      <c r="D6" s="4" t="inlineStr">
        <is>
          <t>Fits</t>
        </is>
      </c>
      <c r="E6" s="4" t="inlineStr">
        <is>
          <t>What they fund</t>
        </is>
      </c>
      <c r="F6" s="4" t="inlineStr">
        <is>
          <t>Typical size</t>
        </is>
      </c>
      <c r="G6" s="4" t="inlineStr">
        <is>
          <t>Timing / deadline</t>
        </is>
      </c>
      <c r="H6" s="4" t="inlineStr">
        <is>
          <t>Link</t>
        </is>
      </c>
      <c r="I6" s="4" t="inlineStr">
        <is>
          <t>Verified?</t>
        </is>
      </c>
      <c r="J6" s="4" t="inlineStr">
        <is>
          <t>Watch-outs / eligibility</t>
        </is>
      </c>
      <c r="K6" s="4" t="inlineStr">
        <is>
          <t>Next step</t>
        </is>
      </c>
      <c r="L6" s="4" t="inlineStr">
        <is>
          <t>Owner</t>
        </is>
      </c>
      <c r="M6" s="4" t="inlineStr">
        <is>
          <t>Pipeline status</t>
        </is>
      </c>
      <c r="N6" s="4" t="inlineStr">
        <is>
          <t>Last checked</t>
        </is>
      </c>
      <c r="O6" s="4" t="inlineStr">
        <is>
          <t>Notes</t>
        </is>
      </c>
    </row>
    <row r="7">
      <c r="A7" s="5" t="n">
        <v>1</v>
      </c>
      <c r="B7" s="5" t="inlineStr">
        <is>
          <t>North Texas Giving Day 2027 (Communities Foundation of Texas)</t>
        </is>
      </c>
      <c r="C7" s="5" t="inlineStr">
        <is>
          <t>Giving day</t>
        </is>
      </c>
      <c r="D7" s="5" t="inlineStr">
        <is>
          <t>All</t>
        </is>
      </c>
      <c r="E7" s="5" t="inlineStr">
        <is>
          <t>Online giving day for nonprofits serving 20 North Texas counties; CFT covers card fees</t>
        </is>
      </c>
      <c r="F7" s="5" t="inlineStr">
        <is>
          <t>Depends on our donors + any match pools; est. $5k-$20k</t>
        </is>
      </c>
      <c r="G7" s="5" t="inlineStr">
        <is>
          <t>Registration opens Nov 2, 2026; Giving Day Thu Sep 16, 2027 (early giving ~late Aug)</t>
        </is>
      </c>
      <c r="H7" s="14" t="inlineStr">
        <is>
          <t>https://www.northtexasgivingday.org/p/registration</t>
        </is>
      </c>
      <c r="I7" s="5" t="inlineStr">
        <is>
          <t>Verified</t>
        </is>
      </c>
      <c r="J7" s="5" t="inlineStr">
        <is>
          <t>2027 registration rules/fees not yet posted</t>
        </is>
      </c>
      <c r="K7" s="5" t="inlineStr">
        <is>
          <t>Register in Nov 2026; recruit a match sponsor by Jul 2027</t>
        </is>
      </c>
      <c r="L7" s="5" t="inlineStr">
        <is>
          <t>Assistant (prep) / Aslam (submit)</t>
        </is>
      </c>
      <c r="M7" s="11" t="inlineStr">
        <is>
          <t>Researching</t>
        </is>
      </c>
      <c r="N7" s="5" t="inlineStr">
        <is>
          <t>Oct 13, 2026</t>
        </is>
      </c>
      <c r="O7" s="11" t="inlineStr"/>
    </row>
    <row r="8">
      <c r="A8" s="7" t="n">
        <v>2</v>
      </c>
      <c r="B8" s="7" t="inlineStr">
        <is>
          <t>Communities Foundation of Texas - Nonprofit Gateway Profile</t>
        </is>
      </c>
      <c r="C8" s="7" t="inlineStr">
        <is>
          <t>Community foundation</t>
        </is>
      </c>
      <c r="D8" s="7" t="inlineStr">
        <is>
          <t>All</t>
        </is>
      </c>
      <c r="E8" s="7" t="inlineStr">
        <is>
          <t>Grants are now nearly all invitation-only; profile puts us on CFT's radar (also DAF holders)</t>
        </is>
      </c>
      <c r="F8" s="7" t="inlineStr">
        <is>
          <t>Unverified (third-party listings say $5k-$50k)</t>
        </is>
      </c>
      <c r="G8" s="7" t="inlineStr">
        <is>
          <t>Rolling profile; no open application</t>
        </is>
      </c>
      <c r="H8" s="15" t="inlineStr">
        <is>
          <t>https://www.cftexas.org/nonprofits/grants/</t>
        </is>
      </c>
      <c r="I8" s="7" t="inlineStr">
        <is>
          <t>Verified</t>
        </is>
      </c>
      <c r="J8" s="7" t="inlineStr">
        <is>
          <t>Needs 501(c)(3) active 2+ yrs; 50%+ served in eligible counties</t>
        </is>
      </c>
      <c r="K8" s="7" t="inlineStr">
        <is>
          <t>Complete Gateway Profile in Nov 2026</t>
        </is>
      </c>
      <c r="L8" s="7" t="inlineStr">
        <is>
          <t>Assistant (draft) / Aslam</t>
        </is>
      </c>
      <c r="M8" s="11" t="inlineStr">
        <is>
          <t>Researching</t>
        </is>
      </c>
      <c r="N8" s="7" t="inlineStr">
        <is>
          <t>Oct 13, 2026</t>
        </is>
      </c>
      <c r="O8" s="11" t="inlineStr"/>
    </row>
    <row r="9">
      <c r="A9" s="5" t="n">
        <v>3</v>
      </c>
      <c r="B9" s="5" t="inlineStr">
        <is>
          <t>The Dallas Foundation - Summer Grants Cycle (Family Economic Stability &amp; Critical Needs)</t>
        </is>
      </c>
      <c r="C9" s="5" t="inlineStr">
        <is>
          <t>Community foundation</t>
        </is>
      </c>
      <c r="D9" s="5" t="inlineStr">
        <is>
          <t>Meals, Maa's Place</t>
        </is>
      </c>
      <c r="E9" s="5" t="inlineStr">
        <is>
          <t>Essential services for children, families, older adults in Dallas County; general operating OK</t>
        </is>
      </c>
      <c r="F9" s="5" t="inlineStr">
        <is>
          <t>$5,000-$75,000 (2026 cycle)</t>
        </is>
      </c>
      <c r="G9" s="5" t="inlineStr">
        <is>
          <t>2026 window was Jun 10-26 (closed). 2027 dates not posted - expect ~June 2027 (Unverified)</t>
        </is>
      </c>
      <c r="H9" s="14" t="inlineStr">
        <is>
          <t>https://www.dallasfoundation.org/our-impact/grant-opportunities/</t>
        </is>
      </c>
      <c r="I9" s="5" t="inlineStr">
        <is>
          <t>Verified</t>
        </is>
      </c>
      <c r="J9" s="5" t="inlineStr">
        <is>
          <t>Over 50% of clients must live in Dallas County; asks for 990, budget, audited financials if available; no event underwriting</t>
        </is>
      </c>
      <c r="K9" s="5" t="inlineStr">
        <is>
          <t>Confirm county mix; watch page from Apr 2027</t>
        </is>
      </c>
      <c r="L9" s="5" t="inlineStr">
        <is>
          <t>Assistant</t>
        </is>
      </c>
      <c r="M9" s="11" t="inlineStr">
        <is>
          <t>Researching</t>
        </is>
      </c>
      <c r="N9" s="5" t="inlineStr">
        <is>
          <t>Oct 13, 2026</t>
        </is>
      </c>
      <c r="O9" s="11" t="inlineStr"/>
    </row>
    <row r="10">
      <c r="A10" s="7" t="n">
        <v>4</v>
      </c>
      <c r="B10" s="7" t="inlineStr">
        <is>
          <t>The Dallas Foundation - Spring cycle (Specialized Health &amp; Disability)</t>
        </is>
      </c>
      <c r="C10" s="7" t="inlineStr">
        <is>
          <t>Community foundation</t>
        </is>
      </c>
      <c r="D10" s="7" t="inlineStr">
        <is>
          <t>BSV (later)</t>
        </is>
      </c>
      <c r="E10" s="7" t="inlineStr">
        <is>
          <t>2026 spring focus incl. specialized health &amp; disability programs</t>
        </is>
      </c>
      <c r="F10" s="7" t="inlineStr">
        <is>
          <t>Unverified</t>
        </is>
      </c>
      <c r="G10" s="7" t="inlineStr">
        <is>
          <t>2026 window was Jan 14-28; 2027 not posted</t>
        </is>
      </c>
      <c r="H10" s="15" t="inlineStr">
        <is>
          <t>https://www.dallasfoundation.org/our-impact/grant-opportunities/</t>
        </is>
      </c>
      <c r="I10" s="7" t="inlineStr">
        <is>
          <t>Verified</t>
        </is>
      </c>
      <c r="J10" s="7" t="inlineStr">
        <is>
          <t>2026 spring cycle required org budget over $500,000; BSV not open yet</t>
        </is>
      </c>
      <c r="K10" s="7" t="inlineStr">
        <is>
          <t>Revisit after BSV opens</t>
        </is>
      </c>
      <c r="L10" s="7" t="inlineStr">
        <is>
          <t>Assistant</t>
        </is>
      </c>
      <c r="M10" s="11" t="inlineStr">
        <is>
          <t>Researching</t>
        </is>
      </c>
      <c r="N10" s="7" t="inlineStr">
        <is>
          <t>Oct 13, 2026</t>
        </is>
      </c>
      <c r="O10" s="11" t="inlineStr"/>
    </row>
    <row r="11">
      <c r="A11" s="5" t="n">
        <v>5</v>
      </c>
      <c r="B11" s="5" t="inlineStr">
        <is>
          <t>The Meadows Foundation - Human Services</t>
        </is>
      </c>
      <c r="C11" s="5" t="inlineStr">
        <is>
          <t>Private foundation</t>
        </is>
      </c>
      <c r="D11" s="5" t="inlineStr">
        <is>
          <t>Meals, Maa's Place</t>
        </is>
      </c>
      <c r="E11" s="5" t="inlineStr">
        <is>
          <t>Programs that improve quality of life for vulnerable Texans; up to 50% of giving in DFW</t>
        </is>
      </c>
      <c r="F11" s="5" t="inlineStr">
        <is>
          <t>Unverified</t>
        </is>
      </c>
      <c r="G11" s="5" t="inlineStr">
        <is>
          <t>Rolling; submit 4-5 months before funds are needed; monthly info sessions</t>
        </is>
      </c>
      <c r="H11" s="14" t="inlineStr">
        <is>
          <t>https://www.mfi.org/how-to-apply/</t>
        </is>
      </c>
      <c r="I11" s="5" t="inlineStr">
        <is>
          <t>Verified</t>
        </is>
      </c>
      <c r="J11" s="5" t="inlineStr">
        <is>
          <t>Wants measurable outcomes and other funding secured</t>
        </is>
      </c>
      <c r="K11" s="5" t="inlineStr">
        <is>
          <t>Attend an info session; call program officer (Aslam's decision)</t>
        </is>
      </c>
      <c r="L11" s="5" t="inlineStr">
        <is>
          <t>Aslam / Assistant</t>
        </is>
      </c>
      <c r="M11" s="11" t="inlineStr">
        <is>
          <t>Researching</t>
        </is>
      </c>
      <c r="N11" s="5" t="inlineStr">
        <is>
          <t>Oct 13, 2026</t>
        </is>
      </c>
      <c r="O11" s="11" t="inlineStr"/>
    </row>
    <row r="12">
      <c r="A12" s="7" t="n">
        <v>6</v>
      </c>
      <c r="B12" s="7" t="inlineStr">
        <is>
          <t>The Rees-Jones Foundation</t>
        </is>
      </c>
      <c r="C12" s="7" t="inlineStr">
        <is>
          <t>Private foundation</t>
        </is>
      </c>
      <c r="D12" s="7" t="inlineStr">
        <is>
          <t>BSV (children &amp; families)</t>
        </is>
      </c>
      <c r="E12" s="7" t="inlineStr">
        <is>
          <t>DFW children, youth and their families (and companion animals) within defined portfolios</t>
        </is>
      </c>
      <c r="F12" s="7" t="inlineStr">
        <is>
          <t>Unverified</t>
        </is>
      </c>
      <c r="G12" s="7" t="inlineStr">
        <is>
          <t>Rolling Letter of Inquiry; ~30 days to invite/decline; ~4 months staff review</t>
        </is>
      </c>
      <c r="H12" s="15" t="inlineStr">
        <is>
          <t>https://www.rees-jonesfoundation.org/apply-for-funding/</t>
        </is>
      </c>
      <c r="I12" s="7" t="inlineStr">
        <is>
          <t>Verified</t>
        </is>
      </c>
      <c r="J12" s="7" t="inlineStr">
        <is>
          <t>Must match a portfolio; BSV must be operating</t>
        </is>
      </c>
      <c r="K12" s="7" t="inlineStr">
        <is>
          <t>Check portfolio fit; LOI after BSV opening date is set</t>
        </is>
      </c>
      <c r="L12" s="7" t="inlineStr">
        <is>
          <t>Assistant</t>
        </is>
      </c>
      <c r="M12" s="11" t="inlineStr">
        <is>
          <t>Researching</t>
        </is>
      </c>
      <c r="N12" s="7" t="inlineStr">
        <is>
          <t>Oct 13, 2026</t>
        </is>
      </c>
      <c r="O12" s="11" t="inlineStr"/>
    </row>
    <row r="13">
      <c r="A13" s="5" t="n">
        <v>7</v>
      </c>
      <c r="B13" s="5" t="inlineStr">
        <is>
          <t>The Moody Foundation - General Grant Inquiry</t>
        </is>
      </c>
      <c r="C13" s="5" t="inlineStr">
        <is>
          <t>Private foundation</t>
        </is>
      </c>
      <c r="D13" s="5" t="inlineStr">
        <is>
          <t>All</t>
        </is>
      </c>
      <c r="E13" s="5" t="inlineStr">
        <is>
          <t>Texas: education, social services &amp; family well-being, health &amp; wellness, arts</t>
        </is>
      </c>
      <c r="F13" s="5" t="inlineStr">
        <is>
          <t>Unverified</t>
        </is>
      </c>
      <c r="G13" s="5" t="inlineStr">
        <is>
          <t>Rolling inquiry; up to ~6 months to decision; 4 trustee meetings/yr</t>
        </is>
      </c>
      <c r="H13" s="14" t="inlineStr">
        <is>
          <t>https://moodyf.org/application-process/</t>
        </is>
      </c>
      <c r="I13" s="5" t="inlineStr">
        <is>
          <t>Verified</t>
        </is>
      </c>
      <c r="J13" s="5" t="inlineStr">
        <is>
          <t>One active inquiry per organization</t>
        </is>
      </c>
      <c r="K13" s="5" t="inlineStr">
        <is>
          <t>Submit one inquiry (Maa's Place opening) in Jan 2027</t>
        </is>
      </c>
      <c r="L13" s="5" t="inlineStr">
        <is>
          <t>Assistant (draft) / Aslam</t>
        </is>
      </c>
      <c r="M13" s="11" t="inlineStr">
        <is>
          <t>Researching</t>
        </is>
      </c>
      <c r="N13" s="5" t="inlineStr">
        <is>
          <t>Oct 13, 2026</t>
        </is>
      </c>
      <c r="O13" s="11" t="inlineStr"/>
    </row>
    <row r="14">
      <c r="A14" s="7" t="n">
        <v>8</v>
      </c>
      <c r="B14" s="7" t="inlineStr">
        <is>
          <t>Hoblitzelle Foundation</t>
        </is>
      </c>
      <c r="C14" s="7" t="inlineStr">
        <is>
          <t>Private foundation</t>
        </is>
      </c>
      <c r="D14" s="7" t="inlineStr">
        <is>
          <t>Maa's Place / BSV capital</t>
        </is>
      </c>
      <c r="E14" s="7" t="inlineStr">
        <is>
          <t>Capital only: buildings, renovation, equipment, vehicles, technology (Dallas area priority)</t>
        </is>
      </c>
      <c r="F14" s="7" t="inlineStr">
        <is>
          <t>Unverified</t>
        </is>
      </c>
      <c r="G14" s="7" t="inlineStr">
        <is>
          <t>Windows Feb 15-Apr 15, 2027 and Jun 15-Aug 15, 2027</t>
        </is>
      </c>
      <c r="H14" s="15" t="inlineStr">
        <is>
          <t>https://hoblitzelle.org/how-to-apply</t>
        </is>
      </c>
      <c r="I14" s="7" t="inlineStr">
        <is>
          <t>Verified</t>
        </is>
      </c>
      <c r="J14" s="7" t="inlineStr">
        <is>
          <t>Requires annual budget over $250,000 AND external audit within 2 years - likely NOT eligible yet</t>
        </is>
      </c>
      <c r="K14" s="7" t="inlineStr">
        <is>
          <t>Ask Aslam: budget size and audit status</t>
        </is>
      </c>
      <c r="L14" s="7" t="inlineStr">
        <is>
          <t>Aslam</t>
        </is>
      </c>
      <c r="M14" s="11" t="inlineStr">
        <is>
          <t>Researching</t>
        </is>
      </c>
      <c r="N14" s="7" t="inlineStr">
        <is>
          <t>Oct 13, 2026</t>
        </is>
      </c>
      <c r="O14" s="11" t="inlineStr"/>
    </row>
    <row r="15">
      <c r="A15" s="5" t="n">
        <v>9</v>
      </c>
      <c r="B15" s="5" t="inlineStr">
        <is>
          <t>Crystal Charity Ball</t>
        </is>
      </c>
      <c r="C15" s="5" t="inlineStr">
        <is>
          <t>Charity / foundation</t>
        </is>
      </c>
      <c r="D15" s="5" t="inlineStr">
        <is>
          <t>BSV (future)</t>
        </is>
      </c>
      <c r="E15" s="5" t="inlineStr">
        <is>
          <t>Dallas County children's charities; large multi-year project grants</t>
        </is>
      </c>
      <c r="F15" s="5" t="inlineStr">
        <is>
          <t>Unverified</t>
        </is>
      </c>
      <c r="G15" s="5" t="inlineStr">
        <is>
          <t>2027 cycle closed Oct 8, 2026; next cycle ~Aug-Oct 2027</t>
        </is>
      </c>
      <c r="H15" s="14" t="inlineStr">
        <is>
          <t>https://crystalcharity.org/apply-for-funding/</t>
        </is>
      </c>
      <c r="I15" s="5" t="inlineStr">
        <is>
          <t>Verified</t>
        </is>
      </c>
      <c r="J15" s="5" t="inlineStr">
        <is>
          <t>Must have served Dallas County children 3+ years - BSV not eligible until ~3 yrs after opening</t>
        </is>
      </c>
      <c r="K15" s="5" t="inlineStr">
        <is>
          <t>Long-term only</t>
        </is>
      </c>
      <c r="L15" s="5" t="inlineStr">
        <is>
          <t>Assistant (track)</t>
        </is>
      </c>
      <c r="M15" s="11" t="inlineStr">
        <is>
          <t>Researching</t>
        </is>
      </c>
      <c r="N15" s="5" t="inlineStr">
        <is>
          <t>Oct 13, 2026</t>
        </is>
      </c>
      <c r="O15" s="11" t="inlineStr"/>
    </row>
    <row r="16">
      <c r="A16" s="7" t="n">
        <v>10</v>
      </c>
      <c r="B16" s="7" t="inlineStr">
        <is>
          <t>Walmart Spark Good Local Grants</t>
        </is>
      </c>
      <c r="C16" s="7" t="inlineStr">
        <is>
          <t>Corporate</t>
        </is>
      </c>
      <c r="D16" s="7" t="inlineStr">
        <is>
          <t>Meals</t>
        </is>
      </c>
      <c r="E16" s="7" t="inlineStr">
        <is>
          <t>Local store/Sam's Club/DC grants; hunger relief is a frequent area of support</t>
        </is>
      </c>
      <c r="F16" s="7" t="inlineStr">
        <is>
          <t>$250-$5,000</t>
        </is>
      </c>
      <c r="G16" s="7" t="inlineStr">
        <is>
          <t>FY27 Cycle 3: Aug 1-Nov 30, 2026 (open now). Cycles 1-2 were Feb 1-Apr 15, May 1-Jul 15</t>
        </is>
      </c>
      <c r="H16" s="15" t="inlineStr">
        <is>
          <t>https://walmart.org/how-we-give/program-guidelines/spark-good-local-grants-guidelines</t>
        </is>
      </c>
      <c r="I16" s="7" t="inlineStr">
        <is>
          <t>Verified</t>
        </is>
      </c>
      <c r="J16" s="7" t="inlineStr">
        <is>
          <t>Needs Spark Good account + Deed verification; one award per facility per fiscal year</t>
        </is>
      </c>
      <c r="K16" s="7" t="inlineStr">
        <is>
          <t>Apply to 2-3 Carrollton-area stores by Nov 30, 2026</t>
        </is>
      </c>
      <c r="L16" s="7" t="inlineStr">
        <is>
          <t>Assistant (draft) / Aslam (submit)</t>
        </is>
      </c>
      <c r="M16" s="11" t="inlineStr">
        <is>
          <t>Researching</t>
        </is>
      </c>
      <c r="N16" s="7" t="inlineStr">
        <is>
          <t>Oct 13, 2026</t>
        </is>
      </c>
      <c r="O16" s="11" t="inlineStr"/>
    </row>
    <row r="17">
      <c r="A17" s="5" t="n">
        <v>11</v>
      </c>
      <c r="B17" s="5" t="inlineStr">
        <is>
          <t>Kroger Zero Hunger | Zero Waste Foundation + Kroger store giving</t>
        </is>
      </c>
      <c r="C17" s="5" t="inlineStr">
        <is>
          <t>Corporate</t>
        </is>
      </c>
      <c r="D17" s="5" t="inlineStr">
        <is>
          <t>Meals</t>
        </is>
      </c>
      <c r="E17" s="5" t="inlineStr">
        <is>
          <t>Hunger relief, mobile pantries, food access; stores also give cash/gift cards/product</t>
        </is>
      </c>
      <c r="F17" s="5" t="inlineStr">
        <is>
          <t>Unverified</t>
        </is>
      </c>
      <c r="G17" s="5" t="inlineStr">
        <is>
          <t>Applications reviewed quarterly (exact 2026-27 dates Unverified)</t>
        </is>
      </c>
      <c r="H17" s="14" t="inlineStr">
        <is>
          <t>https://zerohungerzerowastefoundation.org/how_we_give.html</t>
        </is>
      </c>
      <c r="I17" s="5" t="inlineStr">
        <is>
          <t>Verified</t>
        </is>
      </c>
      <c r="J17" s="5" t="inlineStr">
        <is>
          <t>Kroger Dallas Division store requests go through the Kroger proposal portal (thekrogerco.versaic.com)</t>
        </is>
      </c>
      <c r="K17" s="5" t="inlineStr">
        <is>
          <t>Submit one request in Dec 2026</t>
        </is>
      </c>
      <c r="L17" s="5" t="inlineStr">
        <is>
          <t>Assistant (draft) / Aslam</t>
        </is>
      </c>
      <c r="M17" s="11" t="inlineStr">
        <is>
          <t>Researching</t>
        </is>
      </c>
      <c r="N17" s="5" t="inlineStr">
        <is>
          <t>Oct 13, 2026</t>
        </is>
      </c>
      <c r="O17" s="11" t="inlineStr"/>
    </row>
    <row r="18">
      <c r="A18" s="7" t="n">
        <v>12</v>
      </c>
      <c r="B18" s="7" t="inlineStr">
        <is>
          <t>Albertsons Companies Foundation / Nourishing Neighbors (Tom Thumb, Albertsons)</t>
        </is>
      </c>
      <c r="C18" s="7" t="inlineStr">
        <is>
          <t>Corporate</t>
        </is>
      </c>
      <c r="D18" s="7" t="inlineStr">
        <is>
          <t>Meals</t>
        </is>
      </c>
      <c r="E18" s="7" t="inlineStr">
        <is>
          <t>Hunger relief; Innovation Incubation Fund for new food-security ideas</t>
        </is>
      </c>
      <c r="F18" s="7" t="inlineStr">
        <is>
          <t>Unverified</t>
        </is>
      </c>
      <c r="G18" s="7" t="inlineStr">
        <is>
          <t>Rolling; reviewed monthly (per Nourishing Neighbors RFP page)</t>
        </is>
      </c>
      <c r="H18" s="15" t="inlineStr">
        <is>
          <t>https://www.nourishingneighbors.com/</t>
        </is>
      </c>
      <c r="I18" s="7" t="inlineStr">
        <is>
          <t>Verified</t>
        </is>
      </c>
      <c r="J18" s="7" t="inlineStr">
        <is>
          <t>Must serve communities with an Albertsons-family store (Tom Thumb is in DFW); a local Tom Thumb in-kind/gift-card process is Unverified</t>
        </is>
      </c>
      <c r="K18" s="7" t="inlineStr">
        <is>
          <t>Check current open RFP; ask local Tom Thumb manager about product donations</t>
        </is>
      </c>
      <c r="L18" s="7" t="inlineStr">
        <is>
          <t>Assistant / Volunteer</t>
        </is>
      </c>
      <c r="M18" s="11" t="inlineStr">
        <is>
          <t>Researching</t>
        </is>
      </c>
      <c r="N18" s="7" t="inlineStr">
        <is>
          <t>Oct 13, 2026</t>
        </is>
      </c>
      <c r="O18" s="11" t="inlineStr"/>
    </row>
    <row r="19">
      <c r="A19" s="5" t="n">
        <v>13</v>
      </c>
      <c r="B19" s="5" t="inlineStr">
        <is>
          <t>H-E-B My Community Investment (H-E-B, Central Market, Joe V's)</t>
        </is>
      </c>
      <c r="C19" s="5" t="inlineStr">
        <is>
          <t>Corporate</t>
        </is>
      </c>
      <c r="D19" s="5" t="inlineStr">
        <is>
          <t>Meals, events</t>
        </is>
      </c>
      <c r="E19" s="5" t="inlineStr">
        <is>
          <t>Hunger relief, community; not operating expenses or third-party fundraisers</t>
        </is>
      </c>
      <c r="F19" s="5" t="inlineStr">
        <is>
          <t>Under $200 in store; larger online</t>
        </is>
      </c>
      <c r="G19" s="5" t="inlineStr">
        <is>
          <t>Apply 8+ weeks before decision needed; re-apply yearly</t>
        </is>
      </c>
      <c r="H19" s="14" t="inlineStr">
        <is>
          <t>https://newsroom.heb.com/donation-guidelines/</t>
        </is>
      </c>
      <c r="I19" s="5" t="inlineStr">
        <is>
          <t>Verified</t>
        </is>
      </c>
      <c r="J19" s="5" t="inlineStr">
        <is>
          <t>H-E-B has opened stores in DFW (Plano, Frisco, Irving etc.) and has announced a Carrollton store; one request per event</t>
        </is>
      </c>
      <c r="K19" s="5" t="inlineStr">
        <is>
          <t>Request food/gift cards for Community Dinner (apply by Mar 2027)</t>
        </is>
      </c>
      <c r="L19" s="5" t="inlineStr">
        <is>
          <t>Assistant (draft) / Aslam</t>
        </is>
      </c>
      <c r="M19" s="11" t="inlineStr">
        <is>
          <t>Researching</t>
        </is>
      </c>
      <c r="N19" s="5" t="inlineStr">
        <is>
          <t>Oct 13, 2026</t>
        </is>
      </c>
      <c r="O19" s="11" t="inlineStr"/>
    </row>
    <row r="20">
      <c r="A20" s="7" t="n">
        <v>14</v>
      </c>
      <c r="B20" s="7" t="inlineStr">
        <is>
          <t>Sprouts Healthy Communities Foundation - Neighborhood Grants</t>
        </is>
      </c>
      <c r="C20" s="7" t="inlineStr">
        <is>
          <t>Corporate</t>
        </is>
      </c>
      <c r="D20" s="7" t="inlineStr">
        <is>
          <t>Meals, Maa's Place</t>
        </is>
      </c>
      <c r="E20" s="7" t="inlineStr">
        <is>
          <t>Nutrition security, adult wellness, children's nutrition education</t>
        </is>
      </c>
      <c r="F20" s="7" t="inlineStr">
        <is>
          <t>Up to $5,000</t>
        </is>
      </c>
      <c r="G20" s="7" t="inlineStr">
        <is>
          <t>2026 window closed Jun 1; 2027 window not announced (Unverified)</t>
        </is>
      </c>
      <c r="H20" s="15" t="inlineStr">
        <is>
          <t>https://www.sprouts.com/about/sprouts-foundation/</t>
        </is>
      </c>
      <c r="I20" s="7" t="inlineStr">
        <is>
          <t>Verified</t>
        </is>
      </c>
      <c r="J20" s="7" t="inlineStr">
        <is>
          <t>Healthy Communities ($50k-$100k) is invitation-only after a Neighborhood Grant</t>
        </is>
      </c>
      <c r="K20" s="7" t="inlineStr">
        <is>
          <t>Watch for spring 2027 window</t>
        </is>
      </c>
      <c r="L20" s="7" t="inlineStr">
        <is>
          <t>Assistant</t>
        </is>
      </c>
      <c r="M20" s="11" t="inlineStr">
        <is>
          <t>Researching</t>
        </is>
      </c>
      <c r="N20" s="7" t="inlineStr">
        <is>
          <t>Oct 13, 2026</t>
        </is>
      </c>
      <c r="O20" s="11" t="inlineStr"/>
    </row>
    <row r="21">
      <c r="A21" s="5" t="n">
        <v>15</v>
      </c>
      <c r="B21" s="5" t="inlineStr">
        <is>
          <t>Costco local warehouse donation</t>
        </is>
      </c>
      <c r="C21" s="5" t="inlineStr">
        <is>
          <t>Corporate</t>
        </is>
      </c>
      <c r="D21" s="5" t="inlineStr">
        <is>
          <t>Meals</t>
        </is>
      </c>
      <c r="E21" s="5" t="inlineStr">
        <is>
          <t>Children, education, health &amp; human services; monetary requests via printed form at warehouse</t>
        </is>
      </c>
      <c r="F21" s="5" t="inlineStr">
        <is>
          <t>Small; exact amounts Unverified</t>
        </is>
      </c>
      <c r="G21" s="5" t="inlineStr">
        <is>
          <t>4-6 weeks ahead; one request per fiscal year (Sep-Aug)</t>
        </is>
      </c>
      <c r="H21" s="14" t="inlineStr">
        <is>
          <t>https://www.costco.com/charitable-giving.html</t>
        </is>
      </c>
      <c r="I21" s="5" t="inlineStr">
        <is>
          <t>Verified</t>
        </is>
      </c>
      <c r="J21" s="5" t="inlineStr">
        <is>
          <t>Amounts not stated on official page</t>
        </is>
      </c>
      <c r="K21" s="5" t="inlineStr">
        <is>
          <t>Drop off form at nearest warehouse (Volunteer)</t>
        </is>
      </c>
      <c r="L21" s="5" t="inlineStr">
        <is>
          <t>Volunteer</t>
        </is>
      </c>
      <c r="M21" s="11" t="inlineStr">
        <is>
          <t>Researching</t>
        </is>
      </c>
      <c r="N21" s="5" t="inlineStr">
        <is>
          <t>Oct 13, 2026</t>
        </is>
      </c>
      <c r="O21" s="11" t="inlineStr"/>
    </row>
    <row r="22">
      <c r="A22" s="7" t="n">
        <v>16</v>
      </c>
      <c r="B22" s="7" t="inlineStr">
        <is>
          <t>Texas Instruments Foundation</t>
        </is>
      </c>
      <c r="C22" s="7" t="inlineStr">
        <is>
          <t>Corporate</t>
        </is>
      </c>
      <c r="D22" s="7" t="inlineStr">
        <is>
          <t>All</t>
        </is>
      </c>
      <c r="E22" s="7" t="inlineStr">
        <is>
          <t>Greater Dallas; human services among priorities; mostly by invitation</t>
        </is>
      </c>
      <c r="F22" s="7" t="inlineStr">
        <is>
          <t>Unverified</t>
        </is>
      </c>
      <c r="G22" s="7" t="inlineStr">
        <is>
          <t>No open cycle; introduce via giving@ti.com</t>
        </is>
      </c>
      <c r="H22" s="15" t="inlineStr">
        <is>
          <t>https://www.ti.com/about-ti/citizenship-community/giving/eligible-organizations.html</t>
        </is>
      </c>
      <c r="I22" s="7" t="inlineStr">
        <is>
          <t>Verified</t>
        </is>
      </c>
      <c r="J22" s="7" t="inlineStr">
        <is>
          <t>Unsolicited proposals generally not considered</t>
        </is>
      </c>
      <c r="K22" s="7" t="inlineStr">
        <is>
          <t>Aslam decides whether to send intro email</t>
        </is>
      </c>
      <c r="L22" s="7" t="inlineStr">
        <is>
          <t>Aslam</t>
        </is>
      </c>
      <c r="M22" s="11" t="inlineStr">
        <is>
          <t>Researching</t>
        </is>
      </c>
      <c r="N22" s="7" t="inlineStr">
        <is>
          <t>Oct 13, 2026</t>
        </is>
      </c>
      <c r="O22" s="11" t="inlineStr"/>
    </row>
    <row r="23">
      <c r="A23" s="5" t="n">
        <v>17</v>
      </c>
      <c r="B23" s="5" t="inlineStr">
        <is>
          <t>Toyota Motor North America / Toyota USA Foundation (Plano)</t>
        </is>
      </c>
      <c r="C23" s="5" t="inlineStr">
        <is>
          <t>Corporate</t>
        </is>
      </c>
      <c r="D23" s="5" t="inlineStr">
        <is>
          <t>All</t>
        </is>
      </c>
      <c r="E23" s="5" t="inlineStr">
        <is>
          <t>Community grants by invitation only (invitation code)</t>
        </is>
      </c>
      <c r="F23" s="5" t="inlineStr">
        <is>
          <t>Unverified</t>
        </is>
      </c>
      <c r="G23" s="5" t="inlineStr">
        <is>
          <t>Invitation only</t>
        </is>
      </c>
      <c r="H23" s="14" t="inlineStr">
        <is>
          <t>https://www.toyotaeffect.com/grant-seekers/</t>
        </is>
      </c>
      <c r="I23" s="5" t="inlineStr">
        <is>
          <t>Verified</t>
        </is>
      </c>
      <c r="J23" s="5" t="inlineStr">
        <is>
          <t>No unsolicited applications</t>
        </is>
      </c>
      <c r="K23" s="5" t="inlineStr">
        <is>
          <t>Build relationship via Toyota employee volunteers</t>
        </is>
      </c>
      <c r="L23" s="5" t="inlineStr">
        <is>
          <t>Aslam</t>
        </is>
      </c>
      <c r="M23" s="11" t="inlineStr">
        <is>
          <t>Researching</t>
        </is>
      </c>
      <c r="N23" s="5" t="inlineStr">
        <is>
          <t>Oct 13, 2026</t>
        </is>
      </c>
      <c r="O23" s="11" t="inlineStr"/>
    </row>
    <row r="24">
      <c r="A24" s="7" t="n">
        <v>18</v>
      </c>
      <c r="B24" s="7" t="inlineStr">
        <is>
          <t>AT&amp;T Foundation + AT&amp;T employee giving</t>
        </is>
      </c>
      <c r="C24" s="7" t="inlineStr">
        <is>
          <t>Corporate</t>
        </is>
      </c>
      <c r="D24" s="7" t="inlineStr">
        <is>
          <t>All</t>
        </is>
      </c>
      <c r="E24" s="7" t="inlineStr">
        <is>
          <t>Foundation is invitation only; employee gifts matched 1:1 up to $1,000/yr; volunteer grants</t>
        </is>
      </c>
      <c r="F24" s="7" t="inlineStr">
        <is>
          <t>Up to $1,000 per employee</t>
        </is>
      </c>
      <c r="G24" s="7" t="inlineStr">
        <is>
          <t>Anytime (employee-initiated)</t>
        </is>
      </c>
      <c r="H24" s="15" t="inlineStr">
        <is>
          <t>https://giving.att.com/</t>
        </is>
      </c>
      <c r="I24" s="7" t="inlineStr">
        <is>
          <t>Verified</t>
        </is>
      </c>
      <c r="J24" s="7" t="inlineStr">
        <is>
          <t>Match/volunteer grant figures from AT&amp;T sustainability page (via search)</t>
        </is>
      </c>
      <c r="K24" s="7" t="inlineStr">
        <is>
          <t>Ask donors/volunteers who work at AT&amp;T to submit matches</t>
        </is>
      </c>
      <c r="L24" s="7" t="inlineStr">
        <is>
          <t>Staff</t>
        </is>
      </c>
      <c r="M24" s="11" t="inlineStr">
        <is>
          <t>Researching</t>
        </is>
      </c>
      <c r="N24" s="7" t="inlineStr">
        <is>
          <t>Oct 13, 2026</t>
        </is>
      </c>
      <c r="O24" s="11" t="inlineStr"/>
    </row>
    <row r="25">
      <c r="A25" s="5" t="n">
        <v>19</v>
      </c>
      <c r="B25" s="5" t="inlineStr">
        <is>
          <t>Chipotle Community Fundraisers</t>
        </is>
      </c>
      <c r="C25" s="5" t="inlineStr">
        <is>
          <t>Restaurant give-back</t>
        </is>
      </c>
      <c r="D25" s="5" t="inlineStr">
        <is>
          <t>Meals</t>
        </is>
      </c>
      <c r="E25" s="5" t="inlineStr">
        <is>
          <t>25% of qualifying sales from a fundraiser night (min. $150 sales)</t>
        </is>
      </c>
      <c r="F25" s="5" t="inlineStr">
        <is>
          <t>Typically a few hundred $ per night</t>
        </is>
      </c>
      <c r="G25" s="5" t="inlineStr">
        <is>
          <t>2026 applications closed; reopen March 2027</t>
        </is>
      </c>
      <c r="H25" s="14" t="inlineStr">
        <is>
          <t>https://community.chipotle.com/faq/</t>
        </is>
      </c>
      <c r="I25" s="5" t="inlineStr">
        <is>
          <t>Verified</t>
        </is>
      </c>
      <c r="J25" s="5" t="inlineStr">
        <is>
          <t>Local partner restaurants (Al Markaz, Popeyes franchise, Chef Chen) are better first choices</t>
        </is>
      </c>
      <c r="K25" s="5" t="inlineStr">
        <is>
          <t>Apply Mar 2027</t>
        </is>
      </c>
      <c r="L25" s="5" t="inlineStr">
        <is>
          <t>Volunteer</t>
        </is>
      </c>
      <c r="M25" s="11" t="inlineStr">
        <is>
          <t>Researching</t>
        </is>
      </c>
      <c r="N25" s="5" t="inlineStr">
        <is>
          <t>Oct 13, 2026</t>
        </is>
      </c>
      <c r="O25" s="11" t="inlineStr"/>
    </row>
    <row r="26">
      <c r="A26" s="7" t="n">
        <v>20</v>
      </c>
      <c r="B26" s="7" t="inlineStr">
        <is>
          <t>City of Carrollton CDBG - Social/Public Services</t>
        </is>
      </c>
      <c r="C26" s="7" t="inlineStr">
        <is>
          <t>Government (local)</t>
        </is>
      </c>
      <c r="D26" s="7" t="inlineStr">
        <is>
          <t>Meals, Maa's Place</t>
        </is>
      </c>
      <c r="E26" s="7" t="inlineStr">
        <is>
          <t>HUD CDBG for low-to-moderate income Carrollton residents; public services capped at 15% (~$113,000)</t>
        </is>
      </c>
      <c r="F26" s="7" t="inlineStr">
        <is>
          <t>Pool ~$113,000 (PY2026 went entirely to Metrocrest Services)</t>
        </is>
      </c>
      <c r="G26" s="7" t="inlineStr">
        <is>
          <t>PY2026: apps Mar 19-May 1, 2026. PY2027 dates not posted - expect spring 2027 (Unverified)</t>
        </is>
      </c>
      <c r="H26" s="15" t="inlineStr">
        <is>
          <t>https://www.cityofcarrollton.com/departments/departments-a-f/community-development/community-development-block-grant-cdbg</t>
        </is>
      </c>
      <c r="I26" s="7" t="inlineStr">
        <is>
          <t>Verified</t>
        </is>
      </c>
      <c r="J26" s="7" t="inlineStr">
        <is>
          <t>Competitive; must document Carrollton low/mod-income clients</t>
        </is>
      </c>
      <c r="K26" s="7" t="inlineStr">
        <is>
          <t>Call Community Development (972-466-4299) in Feb 2027 - Aslam</t>
        </is>
      </c>
      <c r="L26" s="7" t="inlineStr">
        <is>
          <t>Aslam / Assistant</t>
        </is>
      </c>
      <c r="M26" s="11" t="inlineStr">
        <is>
          <t>Researching</t>
        </is>
      </c>
      <c r="N26" s="7" t="inlineStr">
        <is>
          <t>Oct 13, 2026</t>
        </is>
      </c>
      <c r="O26" s="11" t="inlineStr"/>
    </row>
    <row r="27">
      <c r="A27" s="5" t="n">
        <v>21</v>
      </c>
      <c r="B27" s="5" t="inlineStr">
        <is>
          <t>North Texas Food Bank - Partner Agency (incl. TEFAP &amp; senior programs)</t>
        </is>
      </c>
      <c r="C27" s="5" t="inlineStr">
        <is>
          <t>Food bank</t>
        </is>
      </c>
      <c r="D27" s="5" t="inlineStr">
        <is>
          <t>Meals, Maa's Place</t>
        </is>
      </c>
      <c r="E27" s="5" t="inlineStr">
        <is>
          <t>Low-cost/free food, USDA TEFAP commodities, produce; CSFP senior boxes distributed by NTFB</t>
        </is>
      </c>
      <c r="F27" s="5" t="inlineStr">
        <is>
          <t>In-kind (could cut food cost substantially)</t>
        </is>
      </c>
      <c r="G27" s="5" t="inlineStr">
        <is>
          <t>Applications reviewed quarterly: Jan, Apr, Jul, Oct</t>
        </is>
      </c>
      <c r="H27" s="14" t="inlineStr">
        <is>
          <t>https://ntfb.org/partner-agency/</t>
        </is>
      </c>
      <c r="I27" s="5" t="inlineStr">
        <is>
          <t>Verified</t>
        </is>
      </c>
      <c r="J27" s="5" t="inlineStr">
        <is>
          <t>Clients in Dallas, Collin (and 10 other) counties - NOT Denton; needs food storage, food-safety rules</t>
        </is>
      </c>
      <c r="K27" s="5" t="inlineStr">
        <is>
          <t>Confirm county of sites/clients; apply for Jan 2027 review</t>
        </is>
      </c>
      <c r="L27" s="5" t="inlineStr">
        <is>
          <t>Aslam / Staff</t>
        </is>
      </c>
      <c r="M27" s="11" t="inlineStr">
        <is>
          <t>Researching</t>
        </is>
      </c>
      <c r="N27" s="5" t="inlineStr">
        <is>
          <t>Oct 13, 2026</t>
        </is>
      </c>
      <c r="O27" s="11" t="inlineStr"/>
    </row>
    <row r="28">
      <c r="A28" s="7" t="n">
        <v>22</v>
      </c>
      <c r="B28" s="7" t="inlineStr">
        <is>
          <t>Tarrant Area Food Bank - Partner Agency (TAFB North serves Denton County)</t>
        </is>
      </c>
      <c r="C28" s="7" t="inlineStr">
        <is>
          <t>Food bank</t>
        </is>
      </c>
      <c r="D28" s="7" t="inlineStr">
        <is>
          <t>Meals</t>
        </is>
      </c>
      <c r="E28" s="7" t="inlineStr">
        <is>
          <t>Partner agencies in 13 counties incl. Denton; meal programs need health permits</t>
        </is>
      </c>
      <c r="F28" s="7" t="inlineStr">
        <is>
          <t>In-kind</t>
        </is>
      </c>
      <c r="G28" s="7" t="inlineStr">
        <is>
          <t>Rolling (submit prospective partner form)</t>
        </is>
      </c>
      <c r="H28" s="15" t="inlineStr">
        <is>
          <t>https://tafb.org/partners/</t>
        </is>
      </c>
      <c r="I28" s="7" t="inlineStr">
        <is>
          <t>Verified</t>
        </is>
      </c>
      <c r="J28" s="7" t="inlineStr">
        <is>
          <t>Must serve 6+ months; shared maintenance fees; monthly reports</t>
        </is>
      </c>
      <c r="K28" s="7" t="inlineStr">
        <is>
          <t>Use only if clients/site are in Denton County</t>
        </is>
      </c>
      <c r="L28" s="7" t="inlineStr">
        <is>
          <t>Staff</t>
        </is>
      </c>
      <c r="M28" s="11" t="inlineStr">
        <is>
          <t>Researching</t>
        </is>
      </c>
      <c r="N28" s="7" t="inlineStr">
        <is>
          <t>Oct 13, 2026</t>
        </is>
      </c>
      <c r="O28" s="11" t="inlineStr"/>
    </row>
    <row r="29">
      <c r="A29" s="5" t="n">
        <v>23</v>
      </c>
      <c r="B29" s="5" t="inlineStr">
        <is>
          <t>Dallas Area Agency on Aging (Community Council of Greater Dallas)</t>
        </is>
      </c>
      <c r="C29" s="5" t="inlineStr">
        <is>
          <t>Government (OAA Title III)</t>
        </is>
      </c>
      <c r="D29" s="5" t="inlineStr">
        <is>
          <t>Maa's Place, Meals (seniors)</t>
        </is>
      </c>
      <c r="E29" s="5" t="inlineStr">
        <is>
          <t>Older Americans Act Title III services for Dallas County 60+ via subrecipients</t>
        </is>
      </c>
      <c r="F29" s="5" t="inlineStr">
        <is>
          <t>Unverified</t>
        </is>
      </c>
      <c r="G29" s="5" t="inlineStr">
        <is>
          <t>No open RFP found (Unverified)</t>
        </is>
      </c>
      <c r="H29" s="14" t="inlineStr">
        <is>
          <t>https://www.ccadvance.org/daaa</t>
        </is>
      </c>
      <c r="I29" s="5" t="inlineStr">
        <is>
          <t>Verified</t>
        </is>
      </c>
      <c r="J29" s="5" t="inlineStr">
        <is>
          <t>Title III providers must meet state AAA rules; realistic year-1 step is partnership/referrals</t>
        </is>
      </c>
      <c r="K29" s="5" t="inlineStr">
        <is>
          <t>Request intro meeting (Aslam's decision)</t>
        </is>
      </c>
      <c r="L29" s="5" t="inlineStr">
        <is>
          <t>Aslam</t>
        </is>
      </c>
      <c r="M29" s="11" t="inlineStr">
        <is>
          <t>Researching</t>
        </is>
      </c>
      <c r="N29" s="5" t="inlineStr">
        <is>
          <t>Oct 13, 2026</t>
        </is>
      </c>
      <c r="O29" s="11" t="inlineStr"/>
    </row>
    <row r="30">
      <c r="A30" s="7" t="n">
        <v>24</v>
      </c>
      <c r="B30" s="7" t="inlineStr">
        <is>
          <t>North Central Texas Area Agency on Aging (NCTCOG) - Denton &amp; Collin</t>
        </is>
      </c>
      <c r="C30" s="7" t="inlineStr">
        <is>
          <t>Government (OAA Title III)</t>
        </is>
      </c>
      <c r="D30" s="7" t="inlineStr">
        <is>
          <t>Maa's Place, Meals (seniors)</t>
        </is>
      </c>
      <c r="E30" s="7" t="inlineStr">
        <is>
          <t>14-county AAA; Denton County meals provider is SPAN, Inc.; Collin is Meals on Wheels of Collin County</t>
        </is>
      </c>
      <c r="F30" s="7" t="inlineStr">
        <is>
          <t>Unverified</t>
        </is>
      </c>
      <c r="G30" s="7" t="inlineStr">
        <is>
          <t>No open RFP found (Unverified)</t>
        </is>
      </c>
      <c r="H30" s="15" t="inlineStr">
        <is>
          <t>https://www.nctcog.org/aging-services/older-adults/contract-services</t>
        </is>
      </c>
      <c r="I30" s="7" t="inlineStr">
        <is>
          <t>Verified</t>
        </is>
      </c>
      <c r="J30" s="7" t="inlineStr">
        <is>
          <t>Funding goes to contracted providers; partnership/referral more realistic in year 1</t>
        </is>
      </c>
      <c r="K30" s="7" t="inlineStr">
        <is>
          <t>Ask about referrals to Maa's Place</t>
        </is>
      </c>
      <c r="L30" s="7" t="inlineStr">
        <is>
          <t>Aslam</t>
        </is>
      </c>
      <c r="M30" s="11" t="inlineStr">
        <is>
          <t>Researching</t>
        </is>
      </c>
      <c r="N30" s="7" t="inlineStr">
        <is>
          <t>Oct 13, 2026</t>
        </is>
      </c>
      <c r="O30" s="11" t="inlineStr"/>
    </row>
    <row r="31">
      <c r="A31" s="5" t="n">
        <v>25</v>
      </c>
      <c r="B31" s="5" t="inlineStr">
        <is>
          <t>Texas HHS - Area Agency on Aging nutrition rules (Title III pass-through)</t>
        </is>
      </c>
      <c r="C31" s="5" t="inlineStr">
        <is>
          <t>Government (state)</t>
        </is>
      </c>
      <c r="D31" s="5" t="inlineStr">
        <is>
          <t>Seniors</t>
        </is>
      </c>
      <c r="E31" s="5" t="inlineStr">
        <is>
          <t>State oversight of AAA nutrition programs (not a direct grant)</t>
        </is>
      </c>
      <c r="F31" s="5" t="inlineStr">
        <is>
          <t>n/a</t>
        </is>
      </c>
      <c r="G31" s="5" t="inlineStr">
        <is>
          <t>n/a</t>
        </is>
      </c>
      <c r="H31" s="14" t="inlineStr">
        <is>
          <t>https://www.hhs.texas.gov/handbooks/area-agency-aging-policies-procedures-manual/f-1500-administration-nutrition-programs</t>
        </is>
      </c>
      <c r="I31" s="5" t="inlineStr">
        <is>
          <t>Verified</t>
        </is>
      </c>
      <c r="J31" s="5" t="inlineStr">
        <is>
          <t>No direct application; money flows through AAAs</t>
        </is>
      </c>
      <c r="K31" s="5" t="inlineStr">
        <is>
          <t>Reference only</t>
        </is>
      </c>
      <c r="L31" s="5" t="inlineStr">
        <is>
          <t>Assistant</t>
        </is>
      </c>
      <c r="M31" s="11" t="inlineStr">
        <is>
          <t>Researching</t>
        </is>
      </c>
      <c r="N31" s="5" t="inlineStr">
        <is>
          <t>Oct 13, 2026</t>
        </is>
      </c>
      <c r="O31" s="11" t="inlineStr"/>
    </row>
    <row r="32">
      <c r="A32" s="7" t="n">
        <v>26</v>
      </c>
      <c r="B32" s="7" t="inlineStr">
        <is>
          <t>Rotary Club of Carrollton-Farmers Branch</t>
        </is>
      </c>
      <c r="C32" s="7" t="inlineStr">
        <is>
          <t>Civic club</t>
        </is>
      </c>
      <c r="D32" s="7" t="inlineStr">
        <is>
          <t>All</t>
        </is>
      </c>
      <c r="E32" s="7" t="inlineStr">
        <is>
          <t>Annual community-service grants to local nonprofits (e.g., Metrocrest Services, senior services)</t>
        </is>
      </c>
      <c r="F32" s="7" t="inlineStr">
        <is>
          <t>Unverified</t>
        </is>
      </c>
      <c r="G32" s="7" t="inlineStr">
        <is>
          <t>Unverified (annual)</t>
        </is>
      </c>
      <c r="H32" s="15" t="inlineStr">
        <is>
          <t>https://cfbrotary5810.org/Stories/carrollton-farmers-branch-rotary-club-supports-valuable-community-organizations</t>
        </is>
      </c>
      <c r="I32" s="7" t="inlineStr">
        <is>
          <t>Verified</t>
        </is>
      </c>
      <c r="J32" s="7" t="inlineStr">
        <is>
          <t>Application process/size not posted</t>
        </is>
      </c>
      <c r="K32" s="7" t="inlineStr">
        <is>
          <t>Ask to present at a meeting; volunteers join a Saturday shift</t>
        </is>
      </c>
      <c r="L32" s="7" t="inlineStr">
        <is>
          <t>Aslam</t>
        </is>
      </c>
      <c r="M32" s="11" t="inlineStr">
        <is>
          <t>Researching</t>
        </is>
      </c>
      <c r="N32" s="7" t="inlineStr">
        <is>
          <t>Oct 13, 2026</t>
        </is>
      </c>
      <c r="O32" s="11" t="inlineStr"/>
    </row>
    <row r="33">
      <c r="A33" s="5" t="n">
        <v>27</v>
      </c>
      <c r="B33" s="5" t="inlineStr">
        <is>
          <t>Carrollton-area Lions Club(s)</t>
        </is>
      </c>
      <c r="C33" s="5" t="inlineStr">
        <is>
          <t>Civic club</t>
        </is>
      </c>
      <c r="D33" s="5" t="inlineStr">
        <is>
          <t>All</t>
        </is>
      </c>
      <c r="E33" s="5" t="inlineStr">
        <is>
          <t>Service projects (vision, youth)</t>
        </is>
      </c>
      <c r="F33" s="5" t="inlineStr">
        <is>
          <t>Unverified</t>
        </is>
      </c>
      <c r="G33" s="5" t="inlineStr">
        <is>
          <t>Unverified</t>
        </is>
      </c>
      <c r="H33" s="5" t="inlineStr">
        <is>
          <t>(no official page found)</t>
        </is>
      </c>
      <c r="I33" s="5" t="inlineStr">
        <is>
          <t>Unverified</t>
        </is>
      </c>
      <c r="J33" s="5" t="inlineStr">
        <is>
          <t>No official grant page found</t>
        </is>
      </c>
      <c r="K33" s="5" t="inlineStr">
        <is>
          <t>Ask a member contact; low priority</t>
        </is>
      </c>
      <c r="L33" s="5" t="inlineStr">
        <is>
          <t>Volunteer</t>
        </is>
      </c>
      <c r="M33" s="11" t="inlineStr">
        <is>
          <t>Researching</t>
        </is>
      </c>
      <c r="N33" s="5" t="inlineStr">
        <is>
          <t>Oct 13, 2026</t>
        </is>
      </c>
      <c r="O33" s="11" t="inlineStr"/>
    </row>
    <row r="34">
      <c r="A34" s="7" t="n">
        <v>28</v>
      </c>
      <c r="B34" s="7" t="inlineStr">
        <is>
          <t>Faith communities (mosques, temples, churches, gurdwaras in DFW)</t>
        </is>
      </c>
      <c r="C34" s="7" t="inlineStr">
        <is>
          <t>Faith partners</t>
        </is>
      </c>
      <c r="D34" s="7" t="inlineStr">
        <is>
          <t>All</t>
        </is>
      </c>
      <c r="E34" s="7" t="inlineStr">
        <is>
          <t>Ramadan, Diwali, Thanksgiving and year-end drives; volunteer teams; in-kind</t>
        </is>
      </c>
      <c r="F34" s="7" t="inlineStr">
        <is>
          <t>$1k-$15k per partner drive (estimate)</t>
        </is>
      </c>
      <c r="G34" s="7" t="inlineStr">
        <is>
          <t>Ramadan ~Feb 8-Mar 9, 2027 (moon-sighting); Diwali Nov 8, 2026</t>
        </is>
      </c>
      <c r="H34" s="7" t="inlineStr">
        <is>
          <t>(no official page found)</t>
        </is>
      </c>
      <c r="I34" s="7" t="inlineStr">
        <is>
          <t>Unverified</t>
        </is>
      </c>
      <c r="J34" s="7" t="inlineStr">
        <is>
          <t>Partner names to come from Aslam; keep public posts non-religious</t>
        </is>
      </c>
      <c r="K34" s="7" t="inlineStr">
        <is>
          <t>Aslam lists 10 partners; Assistant drafts asks</t>
        </is>
      </c>
      <c r="L34" s="7" t="inlineStr">
        <is>
          <t>Aslam</t>
        </is>
      </c>
      <c r="M34" s="11" t="inlineStr">
        <is>
          <t>Researching</t>
        </is>
      </c>
      <c r="N34" s="7" t="inlineStr">
        <is>
          <t>Oct 13, 2026</t>
        </is>
      </c>
      <c r="O34" s="11" t="inlineStr"/>
    </row>
    <row r="35">
      <c r="A35" s="5" t="n">
        <v>29</v>
      </c>
      <c r="B35" s="5" t="inlineStr">
        <is>
          <t>Donor-advised funds (Fidelity Charitable, Schwab, CFT, NPT etc.)</t>
        </is>
      </c>
      <c r="C35" s="5" t="inlineStr">
        <is>
          <t>DAF</t>
        </is>
      </c>
      <c r="D35" s="5" t="inlineStr">
        <is>
          <t>All</t>
        </is>
      </c>
      <c r="E35" s="5" t="inlineStr">
        <is>
          <t>Donors recommend grants from their DAF; needs our legal name + EIN on the website</t>
        </is>
      </c>
      <c r="F35" s="5" t="inlineStr">
        <is>
          <t>Varies</t>
        </is>
      </c>
      <c r="G35" s="5" t="inlineStr">
        <is>
          <t>Peak Nov-Dec</t>
        </is>
      </c>
      <c r="H35" s="5" t="inlineStr">
        <is>
          <t>(no official page found)</t>
        </is>
      </c>
      <c r="I35" s="5" t="inlineStr">
        <is>
          <t>Unverified</t>
        </is>
      </c>
      <c r="J35" s="5" t="inlineStr">
        <is>
          <t>Specific DAF-button tools/pricing not checked</t>
        </is>
      </c>
      <c r="K35" s="5" t="inlineStr">
        <is>
          <t>Add 'Give from your DAF' text (EIN 86-2221897) to donate page</t>
        </is>
      </c>
      <c r="L35" s="5" t="inlineStr">
        <is>
          <t>Assistant</t>
        </is>
      </c>
      <c r="M35" s="11" t="inlineStr">
        <is>
          <t>Researching</t>
        </is>
      </c>
      <c r="N35" s="5" t="inlineStr">
        <is>
          <t>Oct 13, 2026</t>
        </is>
      </c>
      <c r="O35" s="11" t="inlineStr"/>
    </row>
    <row r="36">
      <c r="A36" s="7" t="n">
        <v>30</v>
      </c>
      <c r="B36" s="7" t="inlineStr">
        <is>
          <t>United Way of Denton County - Community Impact Grants</t>
        </is>
      </c>
      <c r="C36" s="7" t="inlineStr">
        <is>
          <t>United Way</t>
        </is>
      </c>
      <c r="D36" s="7" t="inlineStr">
        <is>
          <t>Low fit</t>
        </is>
      </c>
      <c r="E36" s="7" t="inlineStr">
        <is>
          <t>Youth, workforce, veterans, homelessness, behavioral health</t>
        </is>
      </c>
      <c r="F36" s="7" t="inlineStr">
        <is>
          <t>Unverified</t>
        </is>
      </c>
      <c r="G36" s="7" t="inlineStr">
        <is>
          <t>Unverified</t>
        </is>
      </c>
      <c r="H36" s="15" t="inlineStr">
        <is>
          <t>https://www.unitedwaydenton.org/community-impact-grants</t>
        </is>
      </c>
      <c r="I36" s="7" t="inlineStr">
        <is>
          <t>Verified</t>
        </is>
      </c>
      <c r="J36" s="7" t="inlineStr">
        <is>
          <t>Focus areas do not match hunger/seniors well</t>
        </is>
      </c>
      <c r="K36" s="7" t="inlineStr">
        <is>
          <t>Low priority</t>
        </is>
      </c>
      <c r="L36" s="7" t="inlineStr">
        <is>
          <t>Assistant (track)</t>
        </is>
      </c>
      <c r="M36" s="11" t="inlineStr">
        <is>
          <t>Researching</t>
        </is>
      </c>
      <c r="N36" s="7" t="inlineStr">
        <is>
          <t>Oct 13, 2026</t>
        </is>
      </c>
      <c r="O36" s="11" t="inlineStr"/>
    </row>
    <row r="39">
      <c r="A39" s="16" t="inlineStr">
        <is>
          <t>Fact-check log (rules, dates, prices)</t>
        </is>
      </c>
    </row>
    <row r="40">
      <c r="A40" s="17" t="inlineStr">
        <is>
          <t>#</t>
        </is>
      </c>
      <c r="B40" s="17" t="inlineStr">
        <is>
          <t>Item</t>
        </is>
      </c>
      <c r="C40" t="inlineStr">
        <is>
          <t>Finding</t>
        </is>
      </c>
      <c r="E40" s="17" t="inlineStr">
        <is>
          <t>Finding</t>
        </is>
      </c>
      <c r="H40" s="17" t="inlineStr">
        <is>
          <t>Source</t>
        </is>
      </c>
      <c r="I40" s="17" t="inlineStr">
        <is>
          <t>Status</t>
        </is>
      </c>
    </row>
    <row r="41">
      <c r="A41" s="5" t="n">
        <v>1</v>
      </c>
      <c r="B41" s="5" t="inlineStr">
        <is>
          <t>North Texas Giving Day 2026 date</t>
        </is>
      </c>
      <c r="E41" s="5" t="inlineStr">
        <is>
          <t>Thu Sep 17, 2026 (already passed)</t>
        </is>
      </c>
      <c r="H41" s="14" t="inlineStr">
        <is>
          <t>https://www.northtexasgivingday.org/p/AboutUs</t>
        </is>
      </c>
      <c r="I41" s="5" t="inlineStr">
        <is>
          <t>Verified</t>
        </is>
      </c>
    </row>
    <row r="42">
      <c r="A42" s="5" t="n">
        <v>2</v>
      </c>
      <c r="B42" s="5" t="inlineStr">
        <is>
          <t>North Texas Giving Day 2027 date</t>
        </is>
      </c>
      <c r="E42" s="5" t="inlineStr">
        <is>
          <t>Thu Sep 16, 2027</t>
        </is>
      </c>
      <c r="H42" s="14" t="inlineStr">
        <is>
          <t>https://www.cftexas.org/about-cft/blog-and-newsroom/north-texas-giving-day-2026/</t>
        </is>
      </c>
      <c r="I42" s="5" t="inlineStr">
        <is>
          <t>Verified</t>
        </is>
      </c>
    </row>
    <row r="43">
      <c r="A43" s="5" t="n">
        <v>3</v>
      </c>
      <c r="B43" s="5" t="inlineStr">
        <is>
          <t>NTxGD 2027 registration</t>
        </is>
      </c>
      <c r="E43" s="5" t="inlineStr">
        <is>
          <t>Opens Nov 2, 2026</t>
        </is>
      </c>
      <c r="H43" s="14" t="inlineStr">
        <is>
          <t>https://www.northtexasgivingday.org/p/registration</t>
        </is>
      </c>
      <c r="I43" s="5" t="inlineStr">
        <is>
          <t>Verified</t>
        </is>
      </c>
    </row>
    <row r="44">
      <c r="A44" s="5" t="n">
        <v>4</v>
      </c>
      <c r="B44" s="5" t="inlineStr">
        <is>
          <t>Giving Tuesday 2026</t>
        </is>
      </c>
      <c r="E44" s="5" t="inlineStr">
        <is>
          <t>Tue Dec 1, 2026 (day after Thanksgiving week; Thanksgiving Nov 26)</t>
        </is>
      </c>
      <c r="H44" s="5" t="inlineStr">
        <is>
          <t>Calendar</t>
        </is>
      </c>
      <c r="I44" s="5" t="inlineStr">
        <is>
          <t>Verified</t>
        </is>
      </c>
    </row>
    <row r="45">
      <c r="A45" s="5" t="n">
        <v>5</v>
      </c>
      <c r="B45" s="5" t="inlineStr">
        <is>
          <t>Diwali 2026</t>
        </is>
      </c>
      <c r="E45" s="5" t="inlineStr">
        <is>
          <t>Sun Nov 8, 2026</t>
        </is>
      </c>
      <c r="H45" s="14" t="inlineStr">
        <is>
          <t>https://globalpanchang.com/diwali</t>
        </is>
      </c>
      <c r="I45" s="5" t="inlineStr">
        <is>
          <t>Verified</t>
        </is>
      </c>
    </row>
    <row r="46">
      <c r="A46" s="5" t="n">
        <v>6</v>
      </c>
      <c r="B46" s="5" t="inlineStr">
        <is>
          <t>Ramadan 2027</t>
        </is>
      </c>
      <c r="E46" s="5" t="inlineStr">
        <is>
          <t>Expected to start ~Mon Feb 8, 2027; Eid al-Fitr ~Mar 9-10 (moon-sighting)</t>
        </is>
      </c>
      <c r="H46" s="14" t="inlineStr">
        <is>
          <t>https://www.khaleejtimes.com/uae/ramadan-eid-al-fitr-eid-al-adha-2027-likely-dates</t>
        </is>
      </c>
      <c r="I46" s="5" t="inlineStr">
        <is>
          <t>Unverified</t>
        </is>
      </c>
    </row>
    <row r="47">
      <c r="A47" s="5" t="n">
        <v>7</v>
      </c>
      <c r="B47" s="5" t="inlineStr">
        <is>
          <t>Mother's Day 2027</t>
        </is>
      </c>
      <c r="E47" s="5" t="inlineStr">
        <is>
          <t>Sun May 9, 2027</t>
        </is>
      </c>
      <c r="H47" s="5" t="inlineStr">
        <is>
          <t>Calendar</t>
        </is>
      </c>
      <c r="I47" s="5" t="inlineStr">
        <is>
          <t>Verified</t>
        </is>
      </c>
    </row>
    <row r="48">
      <c r="A48" s="5" t="n">
        <v>8</v>
      </c>
      <c r="B48" s="5" t="inlineStr">
        <is>
          <t>Texas raffles: who can hold them</t>
        </is>
      </c>
      <c r="E48" s="5" t="inlineStr">
        <is>
          <t>501(c) nonprofit in existence 3+ years (plus religious societies 10+ yrs, volunteer fire/EMS)</t>
        </is>
      </c>
      <c r="H48" s="14" t="inlineStr">
        <is>
          <t>https://www.texasattorneygeneral.gov/divisions/charitable-trusts/charitable-raffles-and-casinopoker-nights</t>
        </is>
      </c>
      <c r="I48" s="5" t="inlineStr">
        <is>
          <t>Verified</t>
        </is>
      </c>
    </row>
    <row r="49">
      <c r="A49" s="5" t="n">
        <v>9</v>
      </c>
      <c r="B49" s="5" t="inlineStr">
        <is>
          <t>Texas raffles: how many</t>
        </is>
      </c>
      <c r="E49" s="5" t="inlineStr">
        <is>
          <t>Up to 4 per calendar year (changed from 2 in June 2021 by HB 2757)</t>
        </is>
      </c>
      <c r="H49" s="14" t="inlineStr">
        <is>
          <t>https://www.texasattorneygeneral.gov/divisions/charitable-trusts/charitable-raffles-and-casinopoker-nights</t>
        </is>
      </c>
      <c r="I49" s="5" t="inlineStr">
        <is>
          <t>Verified</t>
        </is>
      </c>
    </row>
    <row r="50">
      <c r="A50" s="5" t="n">
        <v>10</v>
      </c>
      <c r="B50" s="5" t="inlineStr">
        <is>
          <t>Texas raffles: prizes</t>
        </is>
      </c>
      <c r="E50" s="5" t="inlineStr">
        <is>
          <t>No cash prizes; purchased prize max $75,000; donated prizes no limit; must own prize or post bond</t>
        </is>
      </c>
      <c r="H50" s="14" t="inlineStr">
        <is>
          <t>https://statutes.capitol.texas.gov/Docs/OC/htm/OC.2002.htm</t>
        </is>
      </c>
      <c r="I50" s="5" t="inlineStr">
        <is>
          <t>Verified</t>
        </is>
      </c>
    </row>
    <row r="51">
      <c r="A51" s="5" t="n">
        <v>11</v>
      </c>
      <c r="B51" s="5" t="inlineStr">
        <is>
          <t>Texas raffles: selling</t>
        </is>
      </c>
      <c r="E51" s="5" t="inlineStr">
        <is>
          <t>No statewide promotion or ticket sales (generally read to include the internet); no paid organizers; 5 items on each ticket</t>
        </is>
      </c>
      <c r="H51" s="14" t="inlineStr">
        <is>
          <t>https://www.texasattorneygeneral.gov/divisions/charitable-trusts/charitable-raffles-and-casinopoker-nights</t>
        </is>
      </c>
      <c r="I51" s="5" t="inlineStr">
        <is>
          <t>Verified</t>
        </is>
      </c>
    </row>
    <row r="52">
      <c r="A52" s="5" t="n">
        <v>12</v>
      </c>
      <c r="B52" s="5" t="inlineStr">
        <is>
          <t>Casino/poker night fundraisers</t>
        </is>
      </c>
      <c r="E52" s="5" t="inlineStr">
        <is>
          <t>Not allowed for nonprofits in Texas</t>
        </is>
      </c>
      <c r="H52" s="14" t="inlineStr">
        <is>
          <t>https://www.texasattorneygeneral.gov/divisions/charitable-trusts/charitable-raffles-and-casinopoker-nights</t>
        </is>
      </c>
      <c r="I52" s="5" t="inlineStr">
        <is>
          <t>Verified</t>
        </is>
      </c>
    </row>
    <row r="53">
      <c r="A53" s="5" t="n">
        <v>13</v>
      </c>
      <c r="B53" s="5" t="inlineStr">
        <is>
          <t>IRS raffle prize reporting</t>
        </is>
      </c>
      <c r="E53" s="5" t="inlineStr">
        <is>
          <t>W-2G if prize minus ticket price is at least $2,000 (2026 threshold) and 300x the ticket; 24% withholding over $5,000</t>
        </is>
      </c>
      <c r="H53" s="14" t="inlineStr">
        <is>
          <t>https://www.irs.gov/instructions/iw2g</t>
        </is>
      </c>
      <c r="I53" s="5" t="inlineStr">
        <is>
          <t>Verified</t>
        </is>
      </c>
    </row>
    <row r="54">
      <c r="A54" s="5" t="n">
        <v>14</v>
      </c>
      <c r="B54" s="5" t="inlineStr">
        <is>
          <t>IRS written acknowledgment</t>
        </is>
      </c>
      <c r="E54" s="5" t="inlineStr">
        <is>
          <t>Needed for any single gift of $250+; must say whether goods/services were given</t>
        </is>
      </c>
      <c r="H54" s="14" t="inlineStr">
        <is>
          <t>https://www.irs.gov/charities-non-profits/charitable-organizations/charitable-contributions-written-acknowledgments</t>
        </is>
      </c>
      <c r="I54" s="5" t="inlineStr">
        <is>
          <t>Verified</t>
        </is>
      </c>
    </row>
    <row r="55">
      <c r="A55" s="5" t="n">
        <v>15</v>
      </c>
      <c r="B55" s="5" t="inlineStr">
        <is>
          <t>IRS quid pro quo disclosure</t>
        </is>
      </c>
      <c r="E55" s="5" t="inlineStr">
        <is>
          <t>Required when a payment over $75 is partly a gift and partly goods/services</t>
        </is>
      </c>
      <c r="H55" s="14" t="inlineStr">
        <is>
          <t>https://www.irs.gov/charities-non-profits/substantiating-charitable-contributions</t>
        </is>
      </c>
      <c r="I55" s="5" t="inlineStr">
        <is>
          <t>Verified</t>
        </is>
      </c>
    </row>
    <row r="56">
      <c r="A56" s="5" t="n">
        <v>16</v>
      </c>
      <c r="B56" s="5" t="inlineStr">
        <is>
          <t>IRS Publication 1771</t>
        </is>
      </c>
      <c r="E56" s="5" t="inlineStr">
        <is>
          <t>Charity guide to substantiation and disclosure</t>
        </is>
      </c>
      <c r="H56" s="14" t="inlineStr">
        <is>
          <t>https://www.irs.gov/pub/irs-pdf/p1771.pdf</t>
        </is>
      </c>
      <c r="I56" s="5" t="inlineStr">
        <is>
          <t>Verified</t>
        </is>
      </c>
    </row>
    <row r="57">
      <c r="A57" s="5" t="n">
        <v>17</v>
      </c>
      <c r="B57" s="5" t="inlineStr">
        <is>
          <t>Texas tax-free sales/auctions</t>
        </is>
      </c>
      <c r="E57" s="5" t="inlineStr">
        <is>
          <t>Two one-day tax-free sales or auctions per calendar year (needs Texas exemption, Form AP-204)</t>
        </is>
      </c>
      <c r="H57" s="14" t="inlineStr">
        <is>
          <t>https://comptroller.texas.gov/taxes/publications/96-122.php</t>
        </is>
      </c>
      <c r="I57" s="5" t="inlineStr">
        <is>
          <t>Verified</t>
        </is>
      </c>
    </row>
    <row r="58">
      <c r="A58" s="5" t="n">
        <v>18</v>
      </c>
      <c r="B58" s="5" t="inlineStr">
        <is>
          <t>Stripe nonprofit rate</t>
        </is>
      </c>
      <c r="E58" s="5" t="inlineStr">
        <is>
          <t>2.2% + 30c for eligible 501(c)(3)s with 80%+ donation volume; request via Stripe support / nonprofit@stripe.com</t>
        </is>
      </c>
      <c r="H58" s="14" t="inlineStr">
        <is>
          <t>https://support.stripe.com/questions/fee-discount-for-nonprofit-organizations</t>
        </is>
      </c>
      <c r="I58" s="5" t="inlineStr">
        <is>
          <t>Verified</t>
        </is>
      </c>
    </row>
    <row r="59">
      <c r="A59" s="5" t="n">
        <v>19</v>
      </c>
      <c r="B59" s="5" t="inlineStr">
        <is>
          <t>Little Green Light price</t>
        </is>
      </c>
      <c r="E59" s="5" t="inlineStr">
        <is>
          <t>$45/mo up to 2,500 records; unlimited users; 10% off annual</t>
        </is>
      </c>
      <c r="H59" s="14" t="inlineStr">
        <is>
          <t>https://www.littlegreenlight.com/pricing/</t>
        </is>
      </c>
      <c r="I59" s="5" t="inlineStr">
        <is>
          <t>Verified</t>
        </is>
      </c>
    </row>
    <row r="60">
      <c r="A60" s="5" t="n">
        <v>20</v>
      </c>
      <c r="B60" s="5" t="inlineStr">
        <is>
          <t>LGL + Stripe</t>
        </is>
      </c>
      <c r="E60" s="5" t="inlineStr">
        <is>
          <t>LGL Forms accept Stripe; Zapier Stripe-to-LGL zaps exist</t>
        </is>
      </c>
      <c r="H60" s="14" t="inlineStr">
        <is>
          <t>https://help.littlegreenlight.com/article/373-enable-your-lgl-forms-account-to-accept-stripe-payments</t>
        </is>
      </c>
      <c r="I60" s="5" t="inlineStr">
        <is>
          <t>Verified</t>
        </is>
      </c>
    </row>
    <row r="61">
      <c r="A61" s="5" t="n">
        <v>21</v>
      </c>
      <c r="B61" s="5" t="inlineStr">
        <is>
          <t>Bloomerang price</t>
        </is>
      </c>
      <c r="E61" s="5" t="inlineStr">
        <is>
          <t>Starts at $125/mo billed annually</t>
        </is>
      </c>
      <c r="H61" s="14" t="inlineStr">
        <is>
          <t>https://bloomerang.com/pricing</t>
        </is>
      </c>
      <c r="I61" s="5" t="inlineStr">
        <is>
          <t>Verified</t>
        </is>
      </c>
    </row>
    <row r="62">
      <c r="A62" s="5" t="n">
        <v>22</v>
      </c>
      <c r="B62" s="5" t="inlineStr">
        <is>
          <t>DonorPerfect price</t>
        </is>
      </c>
      <c r="E62" s="5" t="inlineStr">
        <is>
          <t>Core plan from ~$99-$119/mo (sources differ)</t>
        </is>
      </c>
      <c r="H62" s="14" t="inlineStr">
        <is>
          <t>https://www.donorperfect.com/fundraising-software/pricing-guide/</t>
        </is>
      </c>
      <c r="I62" s="5" t="inlineStr">
        <is>
          <t>Unverified</t>
        </is>
      </c>
    </row>
    <row r="63">
      <c r="A63" s="5" t="n">
        <v>23</v>
      </c>
      <c r="B63" s="5" t="inlineStr">
        <is>
          <t>Givebutter price</t>
        </is>
      </c>
      <c r="E63" s="5" t="inlineStr">
        <is>
          <t>Free with optional donor tips; 3% platform fee if tips off; Plus from $29/mo</t>
        </is>
      </c>
      <c r="H63" s="14" t="inlineStr">
        <is>
          <t>https://givebutter.com/pricing</t>
        </is>
      </c>
      <c r="I63" s="5" t="inlineStr">
        <is>
          <t>Verified</t>
        </is>
      </c>
    </row>
    <row r="64">
      <c r="A64" s="5" t="n">
        <v>24</v>
      </c>
      <c r="B64" s="5" t="inlineStr">
        <is>
          <t>Zeffy price</t>
        </is>
      </c>
      <c r="E64" s="5" t="inlineStr">
        <is>
          <t>Free to nonprofits (funded by optional donor tips); built-in CRM</t>
        </is>
      </c>
      <c r="H64" s="14" t="inlineStr">
        <is>
          <t>https://www.zeffy.com/home/free-online-fundraising-platform</t>
        </is>
      </c>
      <c r="I64" s="5" t="inlineStr">
        <is>
          <t>Verified</t>
        </is>
      </c>
    </row>
    <row r="65">
      <c r="A65" s="5" t="n">
        <v>25</v>
      </c>
      <c r="B65" s="5" t="inlineStr">
        <is>
          <t>H-E-B in DFW</t>
        </is>
      </c>
      <c r="E65" s="5" t="inlineStr">
        <is>
          <t>Stores open in Plano, Frisco, Allen, McKinney, Irving etc.; Carrollton store announced</t>
        </is>
      </c>
      <c r="H65" s="14" t="inlineStr">
        <is>
          <t>https://newsroom.heb.com/h-e-b-opens-store-in-irving-as-part-of-continued-dfw-area-expansion/</t>
        </is>
      </c>
      <c r="I65" s="5" t="inlineStr">
        <is>
          <t>Verified</t>
        </is>
      </c>
    </row>
    <row r="66">
      <c r="A66" s="5" t="n">
        <v>26</v>
      </c>
      <c r="B66" s="5" t="inlineStr">
        <is>
          <t>Denton County food bank</t>
        </is>
      </c>
      <c r="E66" s="5" t="inlineStr">
        <is>
          <t>Served by Tarrant Area Food Bank (transition from NTFB)</t>
        </is>
      </c>
      <c r="H66" s="14" t="inlineStr">
        <is>
          <t>https://tafb.org/news/transition-of-denton-county-services/</t>
        </is>
      </c>
      <c r="I66" s="5" t="inlineStr">
        <is>
          <t>Verified</t>
        </is>
      </c>
    </row>
    <row r="67">
      <c r="A67" s="5" t="n">
        <v>27</v>
      </c>
      <c r="B67" s="5" t="inlineStr">
        <is>
          <t>BSV child-care licensing</t>
        </is>
      </c>
      <c r="E67" s="5" t="inlineStr">
        <is>
          <t>Texas licensing / exemption rules may apply to a day program for children; exemption 42.041(b)(19) covers some recreation programs ages 5-13 only</t>
        </is>
      </c>
      <c r="H67" s="14" t="inlineStr">
        <is>
          <t>https://www.hhs.texas.gov/providers/child-care-regulation/become-a-provider/ccr-licensing-exemptions</t>
        </is>
      </c>
      <c r="I67" s="5" t="inlineStr">
        <is>
          <t>Unverified</t>
        </is>
      </c>
    </row>
    <row r="68">
      <c r="A68" s="5" t="n">
        <v>28</v>
      </c>
      <c r="B68" s="5" t="inlineStr">
        <is>
          <t>Kroger next deadline</t>
        </is>
      </c>
      <c r="E68" s="5" t="inlineStr">
        <is>
          <t>Quarterly review; specific next date not confirmed on official page</t>
        </is>
      </c>
      <c r="H68" s="14" t="inlineStr">
        <is>
          <t>https://zerohungerzerowastefoundation.org/how_we_give.html</t>
        </is>
      </c>
      <c r="I68" s="5" t="inlineStr">
        <is>
          <t>Unverified</t>
        </is>
      </c>
    </row>
    <row r="69">
      <c r="A69" s="5" t="n">
        <v>29</v>
      </c>
      <c r="B69" s="5" t="inlineStr">
        <is>
          <t>Walmart FY28 cycles (2027)</t>
        </is>
      </c>
      <c r="E69" s="5" t="inlineStr">
        <is>
          <t>Not yet posted; FY27 pattern was Feb-Apr / May-Jul / Aug-Nov</t>
        </is>
      </c>
      <c r="H69" s="14" t="inlineStr">
        <is>
          <t>https://walmart.org/how-we-give/program-guidelines/spark-good-local-grants-guidelines</t>
        </is>
      </c>
      <c r="I69" s="5" t="inlineStr">
        <is>
          <t>Unverified</t>
        </is>
      </c>
    </row>
    <row r="70">
      <c r="A70" s="5" t="n">
        <v>30</v>
      </c>
      <c r="B70" s="5" t="inlineStr">
        <is>
          <t>Dallas Foundation 2027 dates</t>
        </is>
      </c>
      <c r="E70" s="5" t="inlineStr">
        <is>
          <t>Not yet posted</t>
        </is>
      </c>
      <c r="H70" s="14" t="inlineStr">
        <is>
          <t>https://www.dallasfoundation.org/our-impact/grant-opportunities/</t>
        </is>
      </c>
      <c r="I70" s="5" t="inlineStr">
        <is>
          <t>Unverified</t>
        </is>
      </c>
    </row>
    <row r="71">
      <c r="A71" s="5" t="n">
        <v>31</v>
      </c>
      <c r="B71" s="5" t="inlineStr">
        <is>
          <t>Carrollton CDBG PY2027 dates</t>
        </is>
      </c>
      <c r="E71" s="5" t="inlineStr">
        <is>
          <t>Not yet posted</t>
        </is>
      </c>
      <c r="H71" s="14" t="inlineStr">
        <is>
          <t>https://www.cityofcarrollton.com/departments/departments-a-f/community-development/community-development-block-grant-cdbg</t>
        </is>
      </c>
      <c r="I71" s="5" t="inlineStr">
        <is>
          <t>Unverified</t>
        </is>
      </c>
    </row>
    <row r="72">
      <c r="A72" s="5" t="n">
        <v>32</v>
      </c>
      <c r="B72" s="5" t="inlineStr">
        <is>
          <t>Diwali 2027</t>
        </is>
      </c>
      <c r="E72" s="5" t="inlineStr">
        <is>
          <t>Late Oct / early Nov 2027 - date not checked</t>
        </is>
      </c>
      <c r="H72" s="5" t="inlineStr">
        <is>
          <t>-</t>
        </is>
      </c>
      <c r="I72" s="5" t="inlineStr">
        <is>
          <t>Unverified</t>
        </is>
      </c>
    </row>
  </sheetData>
  <autoFilter ref="A6:O36"/>
  <conditionalFormatting sqref="I7:I36">
    <cfRule type="cellIs" priority="1" operator="equal" dxfId="2">
      <formula>"Unverified"</formula>
    </cfRule>
    <cfRule type="cellIs" priority="2" operator="equal" dxfId="3">
      <formula>"Verified"</formula>
    </cfRule>
  </conditionalFormatting>
  <conditionalFormatting sqref="I41:I72">
    <cfRule type="cellIs" priority="3" operator="equal" dxfId="2">
      <formula>"Unverified"</formula>
    </cfRule>
    <cfRule type="cellIs" priority="4" operator="equal" dxfId="3">
      <formula>"Verified"</formula>
    </cfRule>
  </conditionalFormatting>
  <dataValidations count="2">
    <dataValidation sqref="I7 I8 I9 I10 I11 I12 I13 I14 I15 I16 I17 I18 I19 I20 I21 I22 I23 I24 I25 I26 I27 I28 I29 I30 I31 I32 I33 I34 I35 I36 I41 I42 I43 I44 I45 I46 I47 I48 I49 I50 I51 I52 I53 I54 I55 I56 I57 I58 I59 I60 I61 I62 I63 I64 I65 I66 I67 I68 I69 I70 I71 I72" showDropDown="0" showInputMessage="0" showErrorMessage="0" allowBlank="0" type="list">
      <formula1>"Verified,Unverified"</formula1>
    </dataValidation>
    <dataValidation sqref="M7 M8 M9 M10 M11 M12 M13 M14 M15 M16 M17 M18 M19 M20 M21 M22 M23 M24 M25 M26 M27 M28 M29 M30 M31 M32 M33 M34 M35 M36" showDropDown="0" showInputMessage="0" showErrorMessage="0" allowBlank="0" type="list">
      <formula1>"Researching,Drafting,Submitted,Awarded,Declined,Report due,Not eligible yet,Not a fit"</formula1>
    </dataValidation>
  </dataValidations>
  <hyperlinks>
    <hyperlink xmlns:r="http://schemas.openxmlformats.org/officeDocument/2006/relationships" ref="H7" r:id="rId1"/>
    <hyperlink xmlns:r="http://schemas.openxmlformats.org/officeDocument/2006/relationships" ref="H8" r:id="rId2"/>
    <hyperlink xmlns:r="http://schemas.openxmlformats.org/officeDocument/2006/relationships" ref="H9" r:id="rId3"/>
    <hyperlink xmlns:r="http://schemas.openxmlformats.org/officeDocument/2006/relationships" ref="H10" r:id="rId4"/>
    <hyperlink xmlns:r="http://schemas.openxmlformats.org/officeDocument/2006/relationships" ref="H11" r:id="rId5"/>
    <hyperlink xmlns:r="http://schemas.openxmlformats.org/officeDocument/2006/relationships" ref="H12" r:id="rId6"/>
    <hyperlink xmlns:r="http://schemas.openxmlformats.org/officeDocument/2006/relationships" ref="H13" r:id="rId7"/>
    <hyperlink xmlns:r="http://schemas.openxmlformats.org/officeDocument/2006/relationships" ref="H14" r:id="rId8"/>
    <hyperlink xmlns:r="http://schemas.openxmlformats.org/officeDocument/2006/relationships" ref="H15" r:id="rId9"/>
    <hyperlink xmlns:r="http://schemas.openxmlformats.org/officeDocument/2006/relationships" ref="H16" r:id="rId10"/>
    <hyperlink xmlns:r="http://schemas.openxmlformats.org/officeDocument/2006/relationships" ref="H17" r:id="rId11"/>
    <hyperlink xmlns:r="http://schemas.openxmlformats.org/officeDocument/2006/relationships" ref="H18" r:id="rId12"/>
    <hyperlink xmlns:r="http://schemas.openxmlformats.org/officeDocument/2006/relationships" ref="H19" r:id="rId13"/>
    <hyperlink xmlns:r="http://schemas.openxmlformats.org/officeDocument/2006/relationships" ref="H20" r:id="rId14"/>
    <hyperlink xmlns:r="http://schemas.openxmlformats.org/officeDocument/2006/relationships" ref="H21" r:id="rId15"/>
    <hyperlink xmlns:r="http://schemas.openxmlformats.org/officeDocument/2006/relationships" ref="H22" r:id="rId16"/>
    <hyperlink xmlns:r="http://schemas.openxmlformats.org/officeDocument/2006/relationships" ref="H23" r:id="rId17"/>
    <hyperlink xmlns:r="http://schemas.openxmlformats.org/officeDocument/2006/relationships" ref="H24" r:id="rId18"/>
    <hyperlink xmlns:r="http://schemas.openxmlformats.org/officeDocument/2006/relationships" ref="H25" r:id="rId19"/>
    <hyperlink xmlns:r="http://schemas.openxmlformats.org/officeDocument/2006/relationships" ref="H26" r:id="rId20"/>
    <hyperlink xmlns:r="http://schemas.openxmlformats.org/officeDocument/2006/relationships" ref="H27" r:id="rId21"/>
    <hyperlink xmlns:r="http://schemas.openxmlformats.org/officeDocument/2006/relationships" ref="H28" r:id="rId22"/>
    <hyperlink xmlns:r="http://schemas.openxmlformats.org/officeDocument/2006/relationships" ref="H29" r:id="rId23"/>
    <hyperlink xmlns:r="http://schemas.openxmlformats.org/officeDocument/2006/relationships" ref="H30" r:id="rId24"/>
    <hyperlink xmlns:r="http://schemas.openxmlformats.org/officeDocument/2006/relationships" ref="H31" r:id="rId25"/>
    <hyperlink xmlns:r="http://schemas.openxmlformats.org/officeDocument/2006/relationships" ref="H32" r:id="rId26"/>
    <hyperlink xmlns:r="http://schemas.openxmlformats.org/officeDocument/2006/relationships" ref="H36" r:id="rId27"/>
    <hyperlink xmlns:r="http://schemas.openxmlformats.org/officeDocument/2006/relationships" ref="H41" r:id="rId28"/>
    <hyperlink xmlns:r="http://schemas.openxmlformats.org/officeDocument/2006/relationships" ref="H42" r:id="rId29"/>
    <hyperlink xmlns:r="http://schemas.openxmlformats.org/officeDocument/2006/relationships" ref="H43" r:id="rId30"/>
    <hyperlink xmlns:r="http://schemas.openxmlformats.org/officeDocument/2006/relationships" ref="H45" r:id="rId31"/>
    <hyperlink xmlns:r="http://schemas.openxmlformats.org/officeDocument/2006/relationships" ref="H46" r:id="rId32"/>
    <hyperlink xmlns:r="http://schemas.openxmlformats.org/officeDocument/2006/relationships" ref="H48" r:id="rId33"/>
    <hyperlink xmlns:r="http://schemas.openxmlformats.org/officeDocument/2006/relationships" ref="H49" r:id="rId34"/>
    <hyperlink xmlns:r="http://schemas.openxmlformats.org/officeDocument/2006/relationships" ref="H50" r:id="rId35"/>
    <hyperlink xmlns:r="http://schemas.openxmlformats.org/officeDocument/2006/relationships" ref="H51" r:id="rId36"/>
    <hyperlink xmlns:r="http://schemas.openxmlformats.org/officeDocument/2006/relationships" ref="H52" r:id="rId37"/>
    <hyperlink xmlns:r="http://schemas.openxmlformats.org/officeDocument/2006/relationships" ref="H53" r:id="rId38"/>
    <hyperlink xmlns:r="http://schemas.openxmlformats.org/officeDocument/2006/relationships" ref="H54" r:id="rId39"/>
    <hyperlink xmlns:r="http://schemas.openxmlformats.org/officeDocument/2006/relationships" ref="H55" r:id="rId40"/>
    <hyperlink xmlns:r="http://schemas.openxmlformats.org/officeDocument/2006/relationships" ref="H56" r:id="rId41"/>
    <hyperlink xmlns:r="http://schemas.openxmlformats.org/officeDocument/2006/relationships" ref="H57" r:id="rId42"/>
    <hyperlink xmlns:r="http://schemas.openxmlformats.org/officeDocument/2006/relationships" ref="H58" r:id="rId43"/>
    <hyperlink xmlns:r="http://schemas.openxmlformats.org/officeDocument/2006/relationships" ref="H59" r:id="rId44"/>
    <hyperlink xmlns:r="http://schemas.openxmlformats.org/officeDocument/2006/relationships" ref="H60" r:id="rId45"/>
    <hyperlink xmlns:r="http://schemas.openxmlformats.org/officeDocument/2006/relationships" ref="H61" r:id="rId46"/>
    <hyperlink xmlns:r="http://schemas.openxmlformats.org/officeDocument/2006/relationships" ref="H62" r:id="rId47"/>
    <hyperlink xmlns:r="http://schemas.openxmlformats.org/officeDocument/2006/relationships" ref="H63" r:id="rId48"/>
    <hyperlink xmlns:r="http://schemas.openxmlformats.org/officeDocument/2006/relationships" ref="H64" r:id="rId49"/>
    <hyperlink xmlns:r="http://schemas.openxmlformats.org/officeDocument/2006/relationships" ref="H65" r:id="rId50"/>
    <hyperlink xmlns:r="http://schemas.openxmlformats.org/officeDocument/2006/relationships" ref="H66" r:id="rId51"/>
    <hyperlink xmlns:r="http://schemas.openxmlformats.org/officeDocument/2006/relationships" ref="H67" r:id="rId52"/>
    <hyperlink xmlns:r="http://schemas.openxmlformats.org/officeDocument/2006/relationships" ref="H68" r:id="rId53"/>
    <hyperlink xmlns:r="http://schemas.openxmlformats.org/officeDocument/2006/relationships" ref="H69" r:id="rId54"/>
    <hyperlink xmlns:r="http://schemas.openxmlformats.org/officeDocument/2006/relationships" ref="H70" r:id="rId55"/>
    <hyperlink xmlns:r="http://schemas.openxmlformats.org/officeDocument/2006/relationships" ref="H71" r:id="rId56"/>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C9A227"/>
    <outlinePr summaryBelow="1" summaryRight="1"/>
    <pageSetUpPr fitToPage="1"/>
  </sheetPr>
  <dimension ref="A1:H51"/>
  <sheetViews>
    <sheetView zoomScale="100" workbookViewId="0">
      <pane xSplit="1" ySplit="7" topLeftCell="B8" activePane="bottomRight" state="frozen"/>
      <selection pane="topRight"/>
      <selection pane="bottomLeft"/>
      <selection pane="bottomRigh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34" customWidth="1" min="8" max="8"/>
  </cols>
  <sheetData>
    <row r="1">
      <c r="A1" s="1" t="inlineStr">
        <is>
          <t>Budget (placeholders - Aslam to fill the yellow cells)</t>
        </is>
      </c>
    </row>
    <row r="2">
      <c r="A2" s="2" t="inlineStr">
        <is>
          <t>Annual = one-time + 12 x monthly. Org placeholders: Annual operating budget [$], Amount raised last year [$], Number of donors [#], 12-month goal [$].</t>
        </is>
      </c>
    </row>
    <row r="3" ht="4" customHeight="1">
      <c r="A3" s="3" t="n"/>
      <c r="B3" s="3" t="n"/>
      <c r="C3" s="3" t="n"/>
      <c r="D3" s="3" t="n"/>
      <c r="E3" s="3" t="n"/>
      <c r="F3" s="3" t="n"/>
      <c r="G3" s="3" t="n"/>
      <c r="H3" s="3" t="n"/>
    </row>
    <row r="4">
      <c r="A4" s="13" t="inlineStr">
        <is>
          <t>Annual operating budget [$]</t>
        </is>
      </c>
      <c r="C4" s="18" t="n"/>
      <c r="D4" s="13" t="inlineStr">
        <is>
          <t>Amount raised last year [$]</t>
        </is>
      </c>
      <c r="F4" s="18" t="n"/>
    </row>
    <row r="5">
      <c r="A5" s="13" t="inlineStr">
        <is>
          <t>Number of donors [#]</t>
        </is>
      </c>
      <c r="C5" s="19" t="n"/>
      <c r="D5" s="13" t="inlineStr">
        <is>
          <t>12-month goal [$]</t>
        </is>
      </c>
      <c r="F5" s="18" t="n"/>
    </row>
    <row r="7" ht="30" customHeight="1">
      <c r="A7" s="4" t="inlineStr">
        <is>
          <t>A. Maa's Place + Blooming Star Village</t>
        </is>
      </c>
      <c r="B7" s="4" t="inlineStr">
        <is>
          <t>MP one-time</t>
        </is>
      </c>
      <c r="C7" s="4" t="inlineStr">
        <is>
          <t>MP monthly</t>
        </is>
      </c>
      <c r="D7" s="4" t="inlineStr">
        <is>
          <t>MP annual</t>
        </is>
      </c>
      <c r="E7" s="4" t="inlineStr">
        <is>
          <t>BSV one-time</t>
        </is>
      </c>
      <c r="F7" s="4" t="inlineStr">
        <is>
          <t>BSV monthly</t>
        </is>
      </c>
      <c r="G7" s="4" t="inlineStr">
        <is>
          <t>BSV annual</t>
        </is>
      </c>
      <c r="H7" s="4" t="inlineStr">
        <is>
          <t>Notes</t>
        </is>
      </c>
    </row>
    <row r="8">
      <c r="A8" s="5" t="inlineStr">
        <is>
          <t>Lease deposit / rent</t>
        </is>
      </c>
      <c r="B8" s="12" t="n"/>
      <c r="C8" s="12" t="n"/>
      <c r="D8" s="6">
        <f>N(B8)+12*N(C8)</f>
        <v/>
      </c>
      <c r="E8" s="12" t="n"/>
      <c r="F8" s="12" t="n"/>
      <c r="G8" s="6">
        <f>N(E8)+12*N(F8)</f>
        <v/>
      </c>
      <c r="H8" s="5" t="inlineStr"/>
    </row>
    <row r="9">
      <c r="A9" s="5" t="inlineStr">
        <is>
          <t>Build-out, accessibility, safety</t>
        </is>
      </c>
      <c r="B9" s="12" t="n"/>
      <c r="C9" s="12" t="n"/>
      <c r="D9" s="6">
        <f>N(B9)+12*N(C9)</f>
        <v/>
      </c>
      <c r="E9" s="12" t="n"/>
      <c r="F9" s="12" t="n"/>
      <c r="G9" s="6">
        <f>N(E9)+12*N(F9)</f>
        <v/>
      </c>
      <c r="H9" s="5" t="inlineStr">
        <is>
          <t>Ramps, grab bars, sensory room</t>
        </is>
      </c>
    </row>
    <row r="10">
      <c r="A10" s="5" t="inlineStr">
        <is>
          <t>Furniture, chairs, tables</t>
        </is>
      </c>
      <c r="B10" s="12" t="n"/>
      <c r="C10" s="12" t="n"/>
      <c r="D10" s="6">
        <f>N(B10)+12*N(C10)</f>
        <v/>
      </c>
      <c r="E10" s="12" t="n"/>
      <c r="F10" s="12" t="n"/>
      <c r="G10" s="6">
        <f>N(E10)+12*N(F10)</f>
        <v/>
      </c>
      <c r="H10" s="5" t="inlineStr"/>
    </row>
    <row r="11">
      <c r="A11" s="5" t="inlineStr">
        <is>
          <t>Kitchen / snack and chai equipment</t>
        </is>
      </c>
      <c r="B11" s="12" t="n"/>
      <c r="C11" s="12" t="n"/>
      <c r="D11" s="6">
        <f>N(B11)+12*N(C11)</f>
        <v/>
      </c>
      <c r="E11" s="12" t="n"/>
      <c r="F11" s="12" t="n"/>
      <c r="G11" s="6">
        <f>N(E11)+12*N(F11)</f>
        <v/>
      </c>
      <c r="H11" s="5" t="inlineStr"/>
    </row>
    <row r="12">
      <c r="A12" s="5" t="inlineStr">
        <is>
          <t>Activity and sensory supplies</t>
        </is>
      </c>
      <c r="B12" s="12" t="n"/>
      <c r="C12" s="12" t="n"/>
      <c r="D12" s="6">
        <f>N(B12)+12*N(C12)</f>
        <v/>
      </c>
      <c r="E12" s="12" t="n"/>
      <c r="F12" s="12" t="n"/>
      <c r="G12" s="6">
        <f>N(E12)+12*N(F12)</f>
        <v/>
      </c>
      <c r="H12" s="5" t="inlineStr"/>
    </row>
    <row r="13">
      <c r="A13" s="5" t="inlineStr">
        <is>
          <t>Snacks, chai, fruit</t>
        </is>
      </c>
      <c r="B13" s="12" t="n"/>
      <c r="C13" s="12" t="n"/>
      <c r="D13" s="6">
        <f>N(B13)+12*N(C13)</f>
        <v/>
      </c>
      <c r="E13" s="12" t="n"/>
      <c r="F13" s="12" t="n"/>
      <c r="G13" s="6">
        <f>N(E13)+12*N(F13)</f>
        <v/>
      </c>
      <c r="H13" s="5" t="inlineStr"/>
    </row>
    <row r="14">
      <c r="A14" s="5" t="inlineStr">
        <is>
          <t>Utilities, internet, phone</t>
        </is>
      </c>
      <c r="B14" s="12" t="n"/>
      <c r="C14" s="12" t="n"/>
      <c r="D14" s="6">
        <f>N(B14)+12*N(C14)</f>
        <v/>
      </c>
      <c r="E14" s="12" t="n"/>
      <c r="F14" s="12" t="n"/>
      <c r="G14" s="6">
        <f>N(E14)+12*N(F14)</f>
        <v/>
      </c>
      <c r="H14" s="5" t="inlineStr"/>
    </row>
    <row r="15">
      <c r="A15" s="5" t="inlineStr">
        <is>
          <t>Insurance (GL, D&amp;O, accident; abuse &amp; molestation for BSV)</t>
        </is>
      </c>
      <c r="B15" s="12" t="n"/>
      <c r="C15" s="12" t="n"/>
      <c r="D15" s="6">
        <f>N(B15)+12*N(C15)</f>
        <v/>
      </c>
      <c r="E15" s="12" t="n"/>
      <c r="F15" s="12" t="n"/>
      <c r="G15" s="6">
        <f>N(E15)+12*N(F15)</f>
        <v/>
      </c>
      <c r="H15" s="5" t="inlineStr">
        <is>
          <t>Get 2 quotes</t>
        </is>
      </c>
    </row>
    <row r="16">
      <c r="A16" s="5" t="inlineStr">
        <is>
          <t>Background checks, training, first aid/CPR</t>
        </is>
      </c>
      <c r="B16" s="12" t="n"/>
      <c r="C16" s="12" t="n"/>
      <c r="D16" s="6">
        <f>N(B16)+12*N(C16)</f>
        <v/>
      </c>
      <c r="E16" s="12" t="n"/>
      <c r="F16" s="12" t="n"/>
      <c r="G16" s="6">
        <f>N(E16)+12*N(F16)</f>
        <v/>
      </c>
      <c r="H16" s="5" t="inlineStr"/>
    </row>
    <row r="17">
      <c r="A17" s="5" t="inlineStr">
        <is>
          <t>Licensing / exemption costs (BSV)</t>
        </is>
      </c>
      <c r="B17" s="12" t="n"/>
      <c r="C17" s="12" t="n"/>
      <c r="D17" s="6">
        <f>N(B17)+12*N(C17)</f>
        <v/>
      </c>
      <c r="E17" s="12" t="n"/>
      <c r="F17" s="12" t="n"/>
      <c r="G17" s="6">
        <f>N(E17)+12*N(F17)</f>
        <v/>
      </c>
      <c r="H17" s="5" t="inlineStr">
        <is>
          <t>Check Texas HHS child-care rules</t>
        </is>
      </c>
    </row>
    <row r="18">
      <c r="A18" s="5" t="inlineStr">
        <is>
          <t>Coordinator / specialist staff (if any)</t>
        </is>
      </c>
      <c r="B18" s="12" t="n"/>
      <c r="C18" s="12" t="n"/>
      <c r="D18" s="6">
        <f>N(B18)+12*N(C18)</f>
        <v/>
      </c>
      <c r="E18" s="12" t="n"/>
      <c r="F18" s="12" t="n"/>
      <c r="G18" s="6">
        <f>N(E18)+12*N(F18)</f>
        <v/>
      </c>
      <c r="H18" s="5" t="inlineStr">
        <is>
          <t>See 'no salaries' question</t>
        </is>
      </c>
    </row>
    <row r="19">
      <c r="A19" s="5" t="inlineStr">
        <is>
          <t>Cleaning, maintenance</t>
        </is>
      </c>
      <c r="B19" s="12" t="n"/>
      <c r="C19" s="12" t="n"/>
      <c r="D19" s="6">
        <f>N(B19)+12*N(C19)</f>
        <v/>
      </c>
      <c r="E19" s="12" t="n"/>
      <c r="F19" s="12" t="n"/>
      <c r="G19" s="6">
        <f>N(E19)+12*N(F19)</f>
        <v/>
      </c>
      <c r="H19" s="5" t="inlineStr"/>
    </row>
    <row r="20">
      <c r="A20" s="5" t="inlineStr">
        <is>
          <t>Signage, printing</t>
        </is>
      </c>
      <c r="B20" s="12" t="n"/>
      <c r="C20" s="12" t="n"/>
      <c r="D20" s="6">
        <f>N(B20)+12*N(C20)</f>
        <v/>
      </c>
      <c r="E20" s="12" t="n"/>
      <c r="F20" s="12" t="n"/>
      <c r="G20" s="6">
        <f>N(E20)+12*N(F20)</f>
        <v/>
      </c>
      <c r="H20" s="5" t="inlineStr"/>
    </row>
    <row r="21">
      <c r="A21" s="5" t="inlineStr">
        <is>
          <t>Other</t>
        </is>
      </c>
      <c r="B21" s="12" t="n"/>
      <c r="C21" s="12" t="n"/>
      <c r="D21" s="6">
        <f>N(B21)+12*N(C21)</f>
        <v/>
      </c>
      <c r="E21" s="12" t="n"/>
      <c r="F21" s="12" t="n"/>
      <c r="G21" s="6">
        <f>N(E21)+12*N(F21)</f>
        <v/>
      </c>
      <c r="H21" s="5" t="inlineStr"/>
    </row>
    <row r="22">
      <c r="A22" s="9" t="inlineStr">
        <is>
          <t>Total</t>
        </is>
      </c>
      <c r="B22" s="10">
        <f>SUM(B8:B21)</f>
        <v/>
      </c>
      <c r="C22" s="10">
        <f>SUM(C8:C21)</f>
        <v/>
      </c>
      <c r="D22" s="10">
        <f>SUM(D8:D21)</f>
        <v/>
      </c>
      <c r="E22" s="10">
        <f>SUM(E8:E21)</f>
        <v/>
      </c>
      <c r="F22" s="10">
        <f>SUM(F8:F21)</f>
        <v/>
      </c>
      <c r="G22" s="10">
        <f>SUM(G8:G21)</f>
        <v/>
      </c>
    </row>
    <row r="24">
      <c r="A24" s="20" t="inlineStr">
        <is>
          <t>B. Fundraising costs (12 months)</t>
        </is>
      </c>
      <c r="B24" s="20" t="inlineStr">
        <is>
          <t>Low</t>
        </is>
      </c>
      <c r="C24" s="20" t="inlineStr">
        <is>
          <t>High</t>
        </is>
      </c>
      <c r="D24" s="20" t="inlineStr">
        <is>
          <t>Actual</t>
        </is>
      </c>
      <c r="E24" s="20" t="n"/>
      <c r="F24" s="20" t="n"/>
      <c r="G24" s="20" t="n"/>
      <c r="H24" s="20" t="inlineStr">
        <is>
          <t>Notes</t>
        </is>
      </c>
    </row>
    <row r="25">
      <c r="A25" s="5" t="inlineStr">
        <is>
          <t>Little Green Light CRM ($45/mo)</t>
        </is>
      </c>
      <c r="B25" s="6" t="n">
        <v>540</v>
      </c>
      <c r="C25" s="6" t="n">
        <v>540</v>
      </c>
      <c r="D25" s="12" t="n"/>
      <c r="H25" s="5" t="inlineStr">
        <is>
          <t>Verified price Oct 13, 2026</t>
        </is>
      </c>
    </row>
    <row r="26">
      <c r="A26" s="5" t="inlineStr">
        <is>
          <t>Printing and postage</t>
        </is>
      </c>
      <c r="B26" s="6" t="n">
        <v>1500</v>
      </c>
      <c r="C26" s="6" t="n">
        <v>3000</v>
      </c>
      <c r="D26" s="12" t="n"/>
      <c r="H26" s="5" t="inlineStr"/>
    </row>
    <row r="27">
      <c r="A27" s="5" t="inlineStr">
        <is>
          <t>Community Dinner (offset by sponsors)</t>
        </is>
      </c>
      <c r="B27" s="6" t="n">
        <v>5000</v>
      </c>
      <c r="C27" s="6" t="n">
        <v>15000</v>
      </c>
      <c r="D27" s="12" t="n"/>
      <c r="H27" s="5" t="inlineStr"/>
    </row>
    <row r="28">
      <c r="A28" s="5" t="inlineStr">
        <is>
          <t>Maa's Place opening event</t>
        </is>
      </c>
      <c r="B28" s="6" t="n">
        <v>500</v>
      </c>
      <c r="C28" s="6" t="n">
        <v>2000</v>
      </c>
      <c r="D28" s="12" t="n"/>
      <c r="H28" s="5" t="inlineStr"/>
    </row>
    <row r="29">
      <c r="A29" s="5" t="inlineStr">
        <is>
          <t>Sponsor kit, banners, signs</t>
        </is>
      </c>
      <c r="B29" s="6" t="n">
        <v>300</v>
      </c>
      <c r="C29" s="6" t="n">
        <v>800</v>
      </c>
      <c r="D29" s="12" t="n"/>
      <c r="H29" s="5" t="inlineStr"/>
    </row>
    <row r="30">
      <c r="A30" s="5" t="inlineStr">
        <is>
          <t>North Texas Giving Day</t>
        </is>
      </c>
      <c r="B30" s="6" t="n">
        <v>0</v>
      </c>
      <c r="C30" s="6" t="n">
        <v>300</v>
      </c>
      <c r="D30" s="12" t="n"/>
      <c r="H30" s="5" t="inlineStr">
        <is>
          <t>CFT covers card fees</t>
        </is>
      </c>
    </row>
    <row r="31">
      <c r="A31" s="5" t="inlineStr">
        <is>
          <t>Stripe fees</t>
        </is>
      </c>
      <c r="B31" s="6" t="n"/>
      <c r="C31" s="6" t="n"/>
      <c r="D31" s="12" t="n"/>
      <c r="H31" s="5" t="inlineStr">
        <is>
          <t>2.2% + 30c if nonprofit rate approved</t>
        </is>
      </c>
    </row>
    <row r="32">
      <c r="A32" s="9" t="inlineStr">
        <is>
          <t>Total fundraising costs</t>
        </is>
      </c>
      <c r="B32" s="10">
        <f>SUM(B25:B31)</f>
        <v/>
      </c>
      <c r="C32" s="10">
        <f>SUM(C25:C31)</f>
        <v/>
      </c>
      <c r="D32" s="10">
        <f>SUM(D25:D31)</f>
        <v/>
      </c>
    </row>
    <row r="34">
      <c r="A34" s="20" t="inlineStr">
        <is>
          <t>C. Revenue estimates by source (12 months)</t>
        </is>
      </c>
      <c r="B34" s="20" t="inlineStr">
        <is>
          <t>Low</t>
        </is>
      </c>
      <c r="C34" s="20" t="inlineStr">
        <is>
          <t>High</t>
        </is>
      </c>
      <c r="D34" s="20" t="inlineStr">
        <is>
          <t>Midpoint</t>
        </is>
      </c>
      <c r="E34" s="20" t="inlineStr">
        <is>
          <t>Goal (set)</t>
        </is>
      </c>
      <c r="F34" s="20" t="inlineStr">
        <is>
          <t>Actual</t>
        </is>
      </c>
      <c r="G34" s="20" t="n"/>
      <c r="H34" s="20" t="n"/>
    </row>
    <row r="35">
      <c r="A35" s="5" t="inlineStr">
        <is>
          <t>Monthly giving circle (Maa's Circle)</t>
        </is>
      </c>
      <c r="B35" s="6" t="n">
        <v>8000</v>
      </c>
      <c r="C35" s="6" t="n">
        <v>30000</v>
      </c>
      <c r="D35" s="6">
        <f>(B35+C35)/2</f>
        <v/>
      </c>
      <c r="E35" s="12" t="n"/>
      <c r="F35" s="12" t="n"/>
      <c r="H35" s="5" t="inlineStr">
        <is>
          <t>Cost: ~$0 (Stripe fees) · Owner: Aslam / Assistant</t>
        </is>
      </c>
    </row>
    <row r="36">
      <c r="A36" s="5" t="inlineStr">
        <is>
          <t>Giving Tuesday + year-end appeal</t>
        </is>
      </c>
      <c r="B36" s="6" t="n">
        <v>8000</v>
      </c>
      <c r="C36" s="6" t="n">
        <v>25000</v>
      </c>
      <c r="D36" s="6">
        <f>(B36+C36)/2</f>
        <v/>
      </c>
      <c r="E36" s="12" t="n"/>
      <c r="F36" s="12" t="n"/>
      <c r="H36" s="5" t="inlineStr">
        <is>
          <t>Cost: $500-$1,500 print/postage · Owner: Aslam / Assistant</t>
        </is>
      </c>
    </row>
    <row r="37">
      <c r="A37" s="5" t="inlineStr">
        <is>
          <t>Maa's Place opening campaign</t>
        </is>
      </c>
      <c r="B37" s="6" t="n">
        <v>15000</v>
      </c>
      <c r="C37" s="6" t="n">
        <v>50000</v>
      </c>
      <c r="D37" s="6">
        <f>(B37+C37)/2</f>
        <v/>
      </c>
      <c r="E37" s="12" t="n"/>
      <c r="F37" s="12" t="n"/>
      <c r="H37" s="5" t="inlineStr">
        <is>
          <t>Cost: $500-$2,000 event · Owner: Aslam / Staff</t>
        </is>
      </c>
    </row>
    <row r="38">
      <c r="A38" s="5" t="inlineStr">
        <is>
          <t>Ramadan 'Share a Meal' with faith partners</t>
        </is>
      </c>
      <c r="B38" s="6" t="n">
        <v>10000</v>
      </c>
      <c r="C38" s="6" t="n">
        <v>40000</v>
      </c>
      <c r="D38" s="6">
        <f>(B38+C38)/2</f>
        <v/>
      </c>
      <c r="E38" s="12" t="n"/>
      <c r="F38" s="12" t="n"/>
      <c r="H38" s="5" t="inlineStr">
        <is>
          <t>Cost: $200-$800 · Owner: Aslam</t>
        </is>
      </c>
    </row>
    <row r="39">
      <c r="A39" s="5" t="inlineStr">
        <is>
          <t>Diwali + Thanksgiving 'Share a Plate'</t>
        </is>
      </c>
      <c r="B39" s="6" t="n">
        <v>3000</v>
      </c>
      <c r="C39" s="6" t="n">
        <v>12000</v>
      </c>
      <c r="D39" s="6">
        <f>(B39+C39)/2</f>
        <v/>
      </c>
      <c r="E39" s="12" t="n"/>
      <c r="F39" s="12" t="n"/>
      <c r="H39" s="5" t="inlineStr">
        <is>
          <t>Cost: $200-$500 · Owner: Aslam / Volunteer</t>
        </is>
      </c>
    </row>
    <row r="40">
      <c r="A40" s="5" t="inlineStr">
        <is>
          <t>Maa's Day (Mother's Day tribute) campaign</t>
        </is>
      </c>
      <c r="B40" s="6" t="n">
        <v>5000</v>
      </c>
      <c r="C40" s="6" t="n">
        <v>20000</v>
      </c>
      <c r="D40" s="6">
        <f>(B40+C40)/2</f>
        <v/>
      </c>
      <c r="E40" s="12" t="n"/>
      <c r="F40" s="12" t="n"/>
      <c r="H40" s="5" t="inlineStr">
        <is>
          <t>Cost: $300-$800 · Owner: Assistant / Aslam</t>
        </is>
      </c>
    </row>
    <row r="41">
      <c r="A41" s="5" t="inlineStr">
        <is>
          <t>Annual Community Dinner (net)</t>
        </is>
      </c>
      <c r="B41" s="6" t="n">
        <v>15000</v>
      </c>
      <c r="C41" s="6" t="n">
        <v>45000</v>
      </c>
      <c r="D41" s="6">
        <f>(B41+C41)/2</f>
        <v/>
      </c>
      <c r="E41" s="12" t="n"/>
      <c r="F41" s="12" t="n"/>
      <c r="H41" s="5" t="inlineStr">
        <is>
          <t>Cost: $5,000-$15,000 · Owner: Aslam / Volunteer lead</t>
        </is>
      </c>
    </row>
    <row r="42">
      <c r="A42" s="5" t="inlineStr">
        <is>
          <t>North Texas Giving Day 2027</t>
        </is>
      </c>
      <c r="B42" s="6" t="n">
        <v>5000</v>
      </c>
      <c r="C42" s="6" t="n">
        <v>20000</v>
      </c>
      <c r="D42" s="6">
        <f>(B42+C42)/2</f>
        <v/>
      </c>
      <c r="E42" s="12" t="n"/>
      <c r="F42" s="12" t="n"/>
      <c r="H42" s="5" t="inlineStr">
        <is>
          <t>Cost: $0-$300 · Owner: Assistant / Aslam</t>
        </is>
      </c>
    </row>
    <row r="43">
      <c r="A43" s="5" t="inlineStr">
        <is>
          <t>Business sponsors (local)</t>
        </is>
      </c>
      <c r="B43" s="6" t="n">
        <v>10000</v>
      </c>
      <c r="C43" s="6" t="n">
        <v>40000</v>
      </c>
      <c r="D43" s="6">
        <f>(B43+C43)/2</f>
        <v/>
      </c>
      <c r="E43" s="12" t="n"/>
      <c r="F43" s="12" t="n"/>
      <c r="H43" s="5" t="inlineStr">
        <is>
          <t>Cost: $300 sponsor kit · Owner: Aslam</t>
        </is>
      </c>
    </row>
    <row r="44">
      <c r="A44" s="5" t="inlineStr">
        <is>
          <t>Corporate/retail grants</t>
        </is>
      </c>
      <c r="B44" s="6" t="n">
        <v>2000</v>
      </c>
      <c r="C44" s="6" t="n">
        <v>20000</v>
      </c>
      <c r="D44" s="6">
        <f>(B44+C44)/2</f>
        <v/>
      </c>
      <c r="E44" s="12" t="n"/>
      <c r="F44" s="12" t="n"/>
      <c r="H44" s="5" t="inlineStr">
        <is>
          <t>Cost: Staff time · Owner: Assistant / Aslam</t>
        </is>
      </c>
    </row>
    <row r="45">
      <c r="A45" s="5" t="inlineStr">
        <is>
          <t>Foundation grants</t>
        </is>
      </c>
      <c r="B45" s="6" t="n">
        <v>0</v>
      </c>
      <c r="C45" s="6" t="n">
        <v>75000</v>
      </c>
      <c r="D45" s="6">
        <f>(B45+C45)/2</f>
        <v/>
      </c>
      <c r="E45" s="12" t="n"/>
      <c r="F45" s="12" t="n"/>
      <c r="H45" s="5" t="inlineStr">
        <is>
          <t>Cost: Staff time · Owner: Assistant / Aslam</t>
        </is>
      </c>
    </row>
    <row r="46">
      <c r="A46" s="5" t="inlineStr">
        <is>
          <t>Peer-to-peer + birthday fundraisers</t>
        </is>
      </c>
      <c r="B46" s="6" t="n">
        <v>2000</v>
      </c>
      <c r="C46" s="6" t="n">
        <v>10000</v>
      </c>
      <c r="D46" s="6">
        <f>(B46+C46)/2</f>
        <v/>
      </c>
      <c r="E46" s="12" t="n"/>
      <c r="F46" s="12" t="n"/>
      <c r="H46" s="5" t="inlineStr">
        <is>
          <t>Cost: $0 · Owner: Volunteer / Assistant</t>
        </is>
      </c>
    </row>
    <row r="47">
      <c r="A47" s="5" t="inlineStr">
        <is>
          <t>Restaurant give-back nights (x6)</t>
        </is>
      </c>
      <c r="B47" s="6" t="n">
        <v>1500</v>
      </c>
      <c r="C47" s="6" t="n">
        <v>6000</v>
      </c>
      <c r="D47" s="6">
        <f>(B47+C47)/2</f>
        <v/>
      </c>
      <c r="E47" s="12" t="n"/>
      <c r="F47" s="12" t="n"/>
      <c r="H47" s="5" t="inlineStr">
        <is>
          <t>Cost: $0-$200 · Owner: Volunteer</t>
        </is>
      </c>
    </row>
    <row r="48">
      <c r="A48" s="5" t="inlineStr">
        <is>
          <t>Civic clubs + faith grants</t>
        </is>
      </c>
      <c r="B48" s="6" t="n">
        <v>1000</v>
      </c>
      <c r="C48" s="6" t="n">
        <v>7500</v>
      </c>
      <c r="D48" s="6">
        <f>(B48+C48)/2</f>
        <v/>
      </c>
      <c r="E48" s="12" t="n"/>
      <c r="F48" s="12" t="n"/>
      <c r="H48" s="5" t="inlineStr">
        <is>
          <t>Cost: $0 · Owner: Aslam</t>
        </is>
      </c>
    </row>
    <row r="49">
      <c r="A49" s="5" t="inlineStr">
        <is>
          <t>Employer matching + volunteer grants</t>
        </is>
      </c>
      <c r="B49" s="6" t="n">
        <v>1000</v>
      </c>
      <c r="C49" s="6" t="n">
        <v>5000</v>
      </c>
      <c r="D49" s="6">
        <f>(B49+C49)/2</f>
        <v/>
      </c>
      <c r="E49" s="12" t="n"/>
      <c r="F49" s="12" t="n"/>
      <c r="H49" s="5" t="inlineStr">
        <is>
          <t>Cost: $0 · Owner: Staff</t>
        </is>
      </c>
    </row>
    <row r="50">
      <c r="A50" s="9" t="inlineStr">
        <is>
          <t>Total</t>
        </is>
      </c>
      <c r="B50" s="10">
        <f>SUM(B35:B49)</f>
        <v/>
      </c>
      <c r="C50" s="10">
        <f>SUM(C35:C49)</f>
        <v/>
      </c>
      <c r="D50" s="10">
        <f>SUM(D35:D49)</f>
        <v/>
      </c>
      <c r="E50" s="10">
        <f>SUM(E35:E49)</f>
        <v/>
      </c>
      <c r="F50" s="10">
        <f>SUM(F35:F49)</f>
        <v/>
      </c>
    </row>
    <row r="51">
      <c r="A51" s="9" t="inlineStr">
        <is>
          <t>Cost per dollar raised (estimate, using midpoint)</t>
        </is>
      </c>
      <c r="D51" s="21">
        <f>IFERROR(((B32+C32)/2)/D50,"")</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3D1A6E"/>
    <outlinePr summaryBelow="1" summaryRight="1"/>
    <pageSetUpPr fitToPage="1"/>
  </sheetPr>
  <dimension ref="A1:O32"/>
  <sheetViews>
    <sheetView zoomScale="100" workbookViewId="0">
      <pane xSplit="2" ySplit="5" topLeftCell="C6"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c r="A1" s="1" t="inlineStr">
        <is>
          <t>Key Metrics (enter yellow cells monthly; grey rows calculate)</t>
        </is>
      </c>
    </row>
    <row r="2">
      <c r="A2" s="2" t="inlineStr">
        <is>
          <t>Targets from the plan. Update by the 10th of each month.</t>
        </is>
      </c>
    </row>
    <row r="3" ht="4" customHeight="1">
      <c r="A3" s="3" t="n"/>
      <c r="B3" s="3" t="n"/>
      <c r="C3" s="3" t="n"/>
      <c r="D3" s="3" t="n"/>
      <c r="E3" s="3" t="n"/>
      <c r="F3" s="3" t="n"/>
      <c r="G3" s="3" t="n"/>
      <c r="H3" s="3" t="n"/>
      <c r="I3" s="3" t="n"/>
      <c r="J3" s="3" t="n"/>
      <c r="K3" s="3" t="n"/>
      <c r="L3" s="3" t="n"/>
      <c r="M3" s="3" t="n"/>
      <c r="N3" s="3" t="n"/>
      <c r="O3" s="3" t="n"/>
    </row>
    <row r="5" ht="30" customHeight="1">
      <c r="A5" s="4" t="inlineStr">
        <is>
          <t>Metric</t>
        </is>
      </c>
      <c r="B5" s="4" t="inlineStr">
        <is>
          <t>Target</t>
        </is>
      </c>
      <c r="C5" s="4" t="inlineStr">
        <is>
          <t>Nov 2026</t>
        </is>
      </c>
      <c r="D5" s="4" t="inlineStr">
        <is>
          <t>Dec 2026</t>
        </is>
      </c>
      <c r="E5" s="4" t="inlineStr">
        <is>
          <t>Jan 2027</t>
        </is>
      </c>
      <c r="F5" s="4" t="inlineStr">
        <is>
          <t>Feb 2027</t>
        </is>
      </c>
      <c r="G5" s="4" t="inlineStr">
        <is>
          <t>Mar 2027</t>
        </is>
      </c>
      <c r="H5" s="4" t="inlineStr">
        <is>
          <t>Apr 2027</t>
        </is>
      </c>
      <c r="I5" s="4" t="inlineStr">
        <is>
          <t>May 2027</t>
        </is>
      </c>
      <c r="J5" s="4" t="inlineStr">
        <is>
          <t>Jun 2027</t>
        </is>
      </c>
      <c r="K5" s="4" t="inlineStr">
        <is>
          <t>Jul 2027</t>
        </is>
      </c>
      <c r="L5" s="4" t="inlineStr">
        <is>
          <t>Aug 2027</t>
        </is>
      </c>
      <c r="M5" s="4" t="inlineStr">
        <is>
          <t>Sep 2027</t>
        </is>
      </c>
      <c r="N5" s="4" t="inlineStr">
        <is>
          <t>Oct 2027</t>
        </is>
      </c>
      <c r="O5" s="4" t="inlineStr">
        <is>
          <t>12-mo total</t>
        </is>
      </c>
    </row>
    <row r="6">
      <c r="A6" s="5" t="inlineStr">
        <is>
          <t>Total raised ($)</t>
        </is>
      </c>
      <c r="B6" s="6" t="inlineStr"/>
      <c r="C6" s="12" t="n"/>
      <c r="D6" s="12" t="n"/>
      <c r="E6" s="12" t="n"/>
      <c r="F6" s="12" t="n"/>
      <c r="G6" s="12" t="n"/>
      <c r="H6" s="12" t="n"/>
      <c r="I6" s="12" t="n"/>
      <c r="J6" s="12" t="n"/>
      <c r="K6" s="12" t="n"/>
      <c r="L6" s="12" t="n"/>
      <c r="M6" s="12" t="n"/>
      <c r="N6" s="12" t="n"/>
      <c r="O6" s="10">
        <f>SUM(C6:N6)</f>
        <v/>
      </c>
    </row>
    <row r="7">
      <c r="A7" s="5" t="inlineStr">
        <is>
          <t>Number of gifts</t>
        </is>
      </c>
      <c r="B7" s="22" t="inlineStr"/>
      <c r="C7" s="23" t="n"/>
      <c r="D7" s="23" t="n"/>
      <c r="E7" s="23" t="n"/>
      <c r="F7" s="23" t="n"/>
      <c r="G7" s="23" t="n"/>
      <c r="H7" s="23" t="n"/>
      <c r="I7" s="23" t="n"/>
      <c r="J7" s="23" t="n"/>
      <c r="K7" s="23" t="n"/>
      <c r="L7" s="23" t="n"/>
      <c r="M7" s="23" t="n"/>
      <c r="N7" s="23" t="n"/>
      <c r="O7" s="24">
        <f>SUM(C7:N7)</f>
        <v/>
      </c>
    </row>
    <row r="8">
      <c r="A8" s="5" t="inlineStr">
        <is>
          <t>Unique donors</t>
        </is>
      </c>
      <c r="B8" s="22" t="inlineStr"/>
      <c r="C8" s="23" t="n"/>
      <c r="D8" s="23" t="n"/>
      <c r="E8" s="23" t="n"/>
      <c r="F8" s="23" t="n"/>
      <c r="G8" s="23" t="n"/>
      <c r="H8" s="23" t="n"/>
      <c r="I8" s="23" t="n"/>
      <c r="J8" s="23" t="n"/>
      <c r="K8" s="23" t="n"/>
      <c r="L8" s="23" t="n"/>
      <c r="M8" s="23" t="n"/>
      <c r="N8" s="23" t="n"/>
      <c r="O8" s="24">
        <f>MAX(C8:N8)</f>
        <v/>
      </c>
    </row>
    <row r="9">
      <c r="A9" s="5" t="inlineStr">
        <is>
          <t>New donors</t>
        </is>
      </c>
      <c r="B9" s="22" t="inlineStr"/>
      <c r="C9" s="23" t="n"/>
      <c r="D9" s="23" t="n"/>
      <c r="E9" s="23" t="n"/>
      <c r="F9" s="23" t="n"/>
      <c r="G9" s="23" t="n"/>
      <c r="H9" s="23" t="n"/>
      <c r="I9" s="23" t="n"/>
      <c r="J9" s="23" t="n"/>
      <c r="K9" s="23" t="n"/>
      <c r="L9" s="23" t="n"/>
      <c r="M9" s="23" t="n"/>
      <c r="N9" s="23" t="n"/>
      <c r="O9" s="24">
        <f>SUM(C9:N9)</f>
        <v/>
      </c>
    </row>
    <row r="10">
      <c r="A10" s="5" t="inlineStr">
        <is>
          <t>Active monthly donors (month end)</t>
        </is>
      </c>
      <c r="B10" s="22" t="n">
        <v>100</v>
      </c>
      <c r="C10" s="23" t="n"/>
      <c r="D10" s="23" t="n"/>
      <c r="E10" s="23" t="n"/>
      <c r="F10" s="23" t="n"/>
      <c r="G10" s="23" t="n"/>
      <c r="H10" s="23" t="n"/>
      <c r="I10" s="23" t="n"/>
      <c r="J10" s="23" t="n"/>
      <c r="K10" s="23" t="n"/>
      <c r="L10" s="23" t="n"/>
      <c r="M10" s="23" t="n"/>
      <c r="N10" s="23" t="n"/>
      <c r="O10" s="24">
        <f>IFERROR(LOOKUP(2,1/(C10:N10&lt;&gt;""),C10:N10),"")</f>
        <v/>
      </c>
    </row>
    <row r="11">
      <c r="A11" s="5" t="inlineStr">
        <is>
          <t>Monthly recurring revenue ($)</t>
        </is>
      </c>
      <c r="B11" s="6" t="n">
        <v>3000</v>
      </c>
      <c r="C11" s="12" t="n"/>
      <c r="D11" s="12" t="n"/>
      <c r="E11" s="12" t="n"/>
      <c r="F11" s="12" t="n"/>
      <c r="G11" s="12" t="n"/>
      <c r="H11" s="12" t="n"/>
      <c r="I11" s="12" t="n"/>
      <c r="J11" s="12" t="n"/>
      <c r="K11" s="12" t="n"/>
      <c r="L11" s="12" t="n"/>
      <c r="M11" s="12" t="n"/>
      <c r="N11" s="12" t="n"/>
      <c r="O11" s="10">
        <f>IFERROR(LOOKUP(2,1/(C11:N11&lt;&gt;""),C11:N11),"")</f>
        <v/>
      </c>
    </row>
    <row r="12">
      <c r="A12" s="5" t="inlineStr">
        <is>
          <t>Fundraising costs ($)</t>
        </is>
      </c>
      <c r="B12" s="6" t="inlineStr"/>
      <c r="C12" s="12" t="n"/>
      <c r="D12" s="12" t="n"/>
      <c r="E12" s="12" t="n"/>
      <c r="F12" s="12" t="n"/>
      <c r="G12" s="12" t="n"/>
      <c r="H12" s="12" t="n"/>
      <c r="I12" s="12" t="n"/>
      <c r="J12" s="12" t="n"/>
      <c r="K12" s="12" t="n"/>
      <c r="L12" s="12" t="n"/>
      <c r="M12" s="12" t="n"/>
      <c r="N12" s="12" t="n"/>
      <c r="O12" s="10">
        <f>SUM(C12:N12)</f>
        <v/>
      </c>
    </row>
    <row r="13">
      <c r="A13" s="5" t="inlineStr">
        <is>
          <t>Gifts thanked within 48 hrs</t>
        </is>
      </c>
      <c r="B13" s="22" t="inlineStr"/>
      <c r="C13" s="23" t="n"/>
      <c r="D13" s="23" t="n"/>
      <c r="E13" s="23" t="n"/>
      <c r="F13" s="23" t="n"/>
      <c r="G13" s="23" t="n"/>
      <c r="H13" s="23" t="n"/>
      <c r="I13" s="23" t="n"/>
      <c r="J13" s="23" t="n"/>
      <c r="K13" s="23" t="n"/>
      <c r="L13" s="23" t="n"/>
      <c r="M13" s="23" t="n"/>
      <c r="N13" s="23" t="n"/>
      <c r="O13" s="24">
        <f>SUM(C13:N13)</f>
        <v/>
      </c>
    </row>
    <row r="14">
      <c r="A14" s="5" t="inlineStr">
        <is>
          <t>Lapsed donors reactivated</t>
        </is>
      </c>
      <c r="B14" s="22" t="inlineStr"/>
      <c r="C14" s="23" t="n"/>
      <c r="D14" s="23" t="n"/>
      <c r="E14" s="23" t="n"/>
      <c r="F14" s="23" t="n"/>
      <c r="G14" s="23" t="n"/>
      <c r="H14" s="23" t="n"/>
      <c r="I14" s="23" t="n"/>
      <c r="J14" s="23" t="n"/>
      <c r="K14" s="23" t="n"/>
      <c r="L14" s="23" t="n"/>
      <c r="M14" s="23" t="n"/>
      <c r="N14" s="23" t="n"/>
      <c r="O14" s="24">
        <f>SUM(C14:N14)</f>
        <v/>
      </c>
    </row>
    <row r="15">
      <c r="A15" s="5" t="inlineStr">
        <is>
          <t>Grants submitted</t>
        </is>
      </c>
      <c r="B15" s="22" t="n">
        <v>10</v>
      </c>
      <c r="C15" s="23" t="n"/>
      <c r="D15" s="23" t="n"/>
      <c r="E15" s="23" t="n"/>
      <c r="F15" s="23" t="n"/>
      <c r="G15" s="23" t="n"/>
      <c r="H15" s="23" t="n"/>
      <c r="I15" s="23" t="n"/>
      <c r="J15" s="23" t="n"/>
      <c r="K15" s="23" t="n"/>
      <c r="L15" s="23" t="n"/>
      <c r="M15" s="23" t="n"/>
      <c r="N15" s="23" t="n"/>
      <c r="O15" s="24">
        <f>SUM(C15:N15)</f>
        <v/>
      </c>
    </row>
    <row r="16">
      <c r="A16" s="5" t="inlineStr">
        <is>
          <t>Grants won</t>
        </is>
      </c>
      <c r="B16" s="22" t="n">
        <v>4</v>
      </c>
      <c r="C16" s="23" t="n"/>
      <c r="D16" s="23" t="n"/>
      <c r="E16" s="23" t="n"/>
      <c r="F16" s="23" t="n"/>
      <c r="G16" s="23" t="n"/>
      <c r="H16" s="23" t="n"/>
      <c r="I16" s="23" t="n"/>
      <c r="J16" s="23" t="n"/>
      <c r="K16" s="23" t="n"/>
      <c r="L16" s="23" t="n"/>
      <c r="M16" s="23" t="n"/>
      <c r="N16" s="23" t="n"/>
      <c r="O16" s="24">
        <f>SUM(C16:N16)</f>
        <v/>
      </c>
    </row>
    <row r="17">
      <c r="A17" s="5" t="inlineStr">
        <is>
          <t>Meals served</t>
        </is>
      </c>
      <c r="B17" s="25" t="inlineStr"/>
      <c r="C17" s="26" t="n"/>
      <c r="D17" s="26" t="n"/>
      <c r="E17" s="26" t="n"/>
      <c r="F17" s="26" t="n"/>
      <c r="G17" s="26" t="n"/>
      <c r="H17" s="26" t="n"/>
      <c r="I17" s="26" t="n"/>
      <c r="J17" s="26" t="n"/>
      <c r="K17" s="26" t="n"/>
      <c r="L17" s="26" t="n"/>
      <c r="M17" s="26" t="n"/>
      <c r="N17" s="26" t="n"/>
      <c r="O17" s="27">
        <f>SUM(C17:N17)</f>
        <v/>
      </c>
    </row>
    <row r="18">
      <c r="A18" s="5" t="inlineStr">
        <is>
          <t>Meal costs ($)</t>
        </is>
      </c>
      <c r="B18" s="6" t="inlineStr"/>
      <c r="C18" s="12" t="n"/>
      <c r="D18" s="12" t="n"/>
      <c r="E18" s="12" t="n"/>
      <c r="F18" s="12" t="n"/>
      <c r="G18" s="12" t="n"/>
      <c r="H18" s="12" t="n"/>
      <c r="I18" s="12" t="n"/>
      <c r="J18" s="12" t="n"/>
      <c r="K18" s="12" t="n"/>
      <c r="L18" s="12" t="n"/>
      <c r="M18" s="12" t="n"/>
      <c r="N18" s="12" t="n"/>
      <c r="O18" s="10">
        <f>SUM(C18:N18)</f>
        <v/>
      </c>
    </row>
    <row r="19">
      <c r="A19" s="28" t="inlineStr">
        <is>
          <t>Average gift ($)</t>
        </is>
      </c>
      <c r="B19" s="29" t="n"/>
      <c r="C19" s="29">
        <f>IFERROR(C6/C7,"")</f>
        <v/>
      </c>
      <c r="D19" s="29">
        <f>IFERROR(D6/D7,"")</f>
        <v/>
      </c>
      <c r="E19" s="29">
        <f>IFERROR(E6/E7,"")</f>
        <v/>
      </c>
      <c r="F19" s="29">
        <f>IFERROR(F6/F7,"")</f>
        <v/>
      </c>
      <c r="G19" s="29">
        <f>IFERROR(G6/G7,"")</f>
        <v/>
      </c>
      <c r="H19" s="29">
        <f>IFERROR(H6/H7,"")</f>
        <v/>
      </c>
      <c r="I19" s="29">
        <f>IFERROR(I6/I7,"")</f>
        <v/>
      </c>
      <c r="J19" s="29">
        <f>IFERROR(J6/J7,"")</f>
        <v/>
      </c>
      <c r="K19" s="29">
        <f>IFERROR(K6/K7,"")</f>
        <v/>
      </c>
      <c r="L19" s="29">
        <f>IFERROR(L6/L7,"")</f>
        <v/>
      </c>
      <c r="M19" s="29">
        <f>IFERROR(M6/M7,"")</f>
        <v/>
      </c>
      <c r="N19" s="29">
        <f>IFERROR(N6/N7,"")</f>
        <v/>
      </c>
      <c r="O19" s="29">
        <f>IFERROR(O6/O7,"")</f>
        <v/>
      </c>
    </row>
    <row r="20">
      <c r="A20" s="28" t="inlineStr">
        <is>
          <t>Cost per dollar raised ($)</t>
        </is>
      </c>
      <c r="B20" s="30" t="n">
        <v>0.2</v>
      </c>
      <c r="C20" s="30">
        <f>IFERROR(C12/C6,"")</f>
        <v/>
      </c>
      <c r="D20" s="30">
        <f>IFERROR(D12/D6,"")</f>
        <v/>
      </c>
      <c r="E20" s="30">
        <f>IFERROR(E12/E6,"")</f>
        <v/>
      </c>
      <c r="F20" s="30">
        <f>IFERROR(F12/F6,"")</f>
        <v/>
      </c>
      <c r="G20" s="30">
        <f>IFERROR(G12/G6,"")</f>
        <v/>
      </c>
      <c r="H20" s="30">
        <f>IFERROR(H12/H6,"")</f>
        <v/>
      </c>
      <c r="I20" s="30">
        <f>IFERROR(I12/I6,"")</f>
        <v/>
      </c>
      <c r="J20" s="30">
        <f>IFERROR(J12/J6,"")</f>
        <v/>
      </c>
      <c r="K20" s="30">
        <f>IFERROR(K12/K6,"")</f>
        <v/>
      </c>
      <c r="L20" s="30">
        <f>IFERROR(L12/L6,"")</f>
        <v/>
      </c>
      <c r="M20" s="30">
        <f>IFERROR(M12/M6,"")</f>
        <v/>
      </c>
      <c r="N20" s="30">
        <f>IFERROR(N12/N6,"")</f>
        <v/>
      </c>
      <c r="O20" s="30">
        <f>IFERROR(O12/O6,"")</f>
        <v/>
      </c>
    </row>
    <row r="21">
      <c r="A21" s="28" t="inlineStr">
        <is>
          <t>48-hour thank-you rate</t>
        </is>
      </c>
      <c r="B21" s="31" t="n">
        <v>0.95</v>
      </c>
      <c r="C21" s="31">
        <f>IFERROR(C13/C7,"")</f>
        <v/>
      </c>
      <c r="D21" s="31">
        <f>IFERROR(D13/D7,"")</f>
        <v/>
      </c>
      <c r="E21" s="31">
        <f>IFERROR(E13/E7,"")</f>
        <v/>
      </c>
      <c r="F21" s="31">
        <f>IFERROR(F13/F7,"")</f>
        <v/>
      </c>
      <c r="G21" s="31">
        <f>IFERROR(G13/G7,"")</f>
        <v/>
      </c>
      <c r="H21" s="31">
        <f>IFERROR(H13/H7,"")</f>
        <v/>
      </c>
      <c r="I21" s="31">
        <f>IFERROR(I13/I7,"")</f>
        <v/>
      </c>
      <c r="J21" s="31">
        <f>IFERROR(J13/J7,"")</f>
        <v/>
      </c>
      <c r="K21" s="31">
        <f>IFERROR(K13/K7,"")</f>
        <v/>
      </c>
      <c r="L21" s="31">
        <f>IFERROR(L13/L7,"")</f>
        <v/>
      </c>
      <c r="M21" s="31">
        <f>IFERROR(M13/M7,"")</f>
        <v/>
      </c>
      <c r="N21" s="31">
        <f>IFERROR(N13/N7,"")</f>
        <v/>
      </c>
      <c r="O21" s="31">
        <f>IFERROR(O13/O7,"")</f>
        <v/>
      </c>
    </row>
    <row r="22">
      <c r="A22" s="28" t="inlineStr">
        <is>
          <t>Grant win rate</t>
        </is>
      </c>
      <c r="B22" s="31" t="n">
        <v>0.35</v>
      </c>
      <c r="C22" s="31">
        <f>IFERROR(C16/C15,"")</f>
        <v/>
      </c>
      <c r="D22" s="31">
        <f>IFERROR(D16/D15,"")</f>
        <v/>
      </c>
      <c r="E22" s="31">
        <f>IFERROR(E16/E15,"")</f>
        <v/>
      </c>
      <c r="F22" s="31">
        <f>IFERROR(F16/F15,"")</f>
        <v/>
      </c>
      <c r="G22" s="31">
        <f>IFERROR(G16/G15,"")</f>
        <v/>
      </c>
      <c r="H22" s="31">
        <f>IFERROR(H16/H15,"")</f>
        <v/>
      </c>
      <c r="I22" s="31">
        <f>IFERROR(I16/I15,"")</f>
        <v/>
      </c>
      <c r="J22" s="31">
        <f>IFERROR(J16/J15,"")</f>
        <v/>
      </c>
      <c r="K22" s="31">
        <f>IFERROR(K16/K15,"")</f>
        <v/>
      </c>
      <c r="L22" s="31">
        <f>IFERROR(L16/L15,"")</f>
        <v/>
      </c>
      <c r="M22" s="31">
        <f>IFERROR(M16/M15,"")</f>
        <v/>
      </c>
      <c r="N22" s="31">
        <f>IFERROR(N16/N15,"")</f>
        <v/>
      </c>
      <c r="O22" s="31">
        <f>IFERROR(O16/O15,"")</f>
        <v/>
      </c>
    </row>
    <row r="23">
      <c r="A23" s="28" t="inlineStr">
        <is>
          <t>Cost per meal ($)</t>
        </is>
      </c>
      <c r="B23" s="30" t="n">
        <v>5</v>
      </c>
      <c r="C23" s="30">
        <f>IFERROR(C18/C17,"")</f>
        <v/>
      </c>
      <c r="D23" s="30">
        <f>IFERROR(D18/D17,"")</f>
        <v/>
      </c>
      <c r="E23" s="30">
        <f>IFERROR(E18/E17,"")</f>
        <v/>
      </c>
      <c r="F23" s="30">
        <f>IFERROR(F18/F17,"")</f>
        <v/>
      </c>
      <c r="G23" s="30">
        <f>IFERROR(G18/G17,"")</f>
        <v/>
      </c>
      <c r="H23" s="30">
        <f>IFERROR(H18/H17,"")</f>
        <v/>
      </c>
      <c r="I23" s="30">
        <f>IFERROR(I18/I17,"")</f>
        <v/>
      </c>
      <c r="J23" s="30">
        <f>IFERROR(J18/J17,"")</f>
        <v/>
      </c>
      <c r="K23" s="30">
        <f>IFERROR(K18/K17,"")</f>
        <v/>
      </c>
      <c r="L23" s="30">
        <f>IFERROR(L18/L17,"")</f>
        <v/>
      </c>
      <c r="M23" s="30">
        <f>IFERROR(M18/M17,"")</f>
        <v/>
      </c>
      <c r="N23" s="30">
        <f>IFERROR(N18/N17,"")</f>
        <v/>
      </c>
      <c r="O23" s="30">
        <f>IFERROR(O18/O17,"")</f>
        <v/>
      </c>
    </row>
    <row r="26">
      <c r="A26" s="16" t="inlineStr">
        <is>
          <t>Yearly retention</t>
        </is>
      </c>
    </row>
    <row r="27">
      <c r="A27" s="5" t="inlineStr">
        <is>
          <t>Donors who gave last year (Nov 2025 - Oct 2026)</t>
        </is>
      </c>
      <c r="B27" s="23" t="n"/>
    </row>
    <row r="28">
      <c r="A28" s="5" t="inlineStr">
        <is>
          <t>Of those, donors who gave again this year</t>
        </is>
      </c>
      <c r="B28" s="23" t="n"/>
    </row>
    <row r="29">
      <c r="A29" s="5" t="inlineStr">
        <is>
          <t>First-time donors (12 months)</t>
        </is>
      </c>
      <c r="B29" s="23" t="n"/>
    </row>
    <row r="30">
      <c r="A30" s="5" t="inlineStr">
        <is>
          <t>Of those, gave a second gift</t>
        </is>
      </c>
      <c r="B30" s="23" t="n"/>
    </row>
    <row r="31">
      <c r="A31" s="28" t="inlineStr">
        <is>
          <t>Donor retention (target 50%+)</t>
        </is>
      </c>
      <c r="B31" s="32">
        <f>IFERROR(B28/B27,"")</f>
        <v/>
      </c>
    </row>
    <row r="32">
      <c r="A32" s="28" t="inlineStr">
        <is>
          <t>New-donor retention (target 35%+)</t>
        </is>
      </c>
      <c r="B32" s="32">
        <f>IFERROR(B30/B29,"")</f>
        <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2026-10-13T13:37:59Z</dcterms:created>
  <dcterms:modified xmlns:dcterms="http://purl.org/dc/terms/" xmlns:xsi="http://www.w3.org/2001/XMLSchema-instance" xsi:type="dcterms:W3CDTF">2026-10-13T13:37:59Z</dcterms:modified>
</cp:coreProperties>
</file>